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odoo\addons\pkf_nominas\scripts\"/>
    </mc:Choice>
  </mc:AlternateContent>
  <xr:revisionPtr revIDLastSave="0" documentId="8_{D336914E-F14B-429C-A110-703B50AFBEA7}" xr6:coauthVersionLast="47" xr6:coauthVersionMax="47" xr10:uidLastSave="{00000000-0000-0000-0000-000000000000}"/>
  <bookViews>
    <workbookView xWindow="-120" yWindow="-120" windowWidth="29040" windowHeight="15720" xr2:uid="{0BDFE4E5-E87F-4B5D-BCB6-FE2D53701825}"/>
  </bookViews>
  <sheets>
    <sheet name="MS36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 a="1"/>
  <c r="E59" i="1" s="1"/>
  <c r="B59" i="1"/>
  <c r="F59" i="1" s="1" a="1"/>
  <c r="F59" i="1" s="1"/>
  <c r="E58" i="1" a="1"/>
  <c r="E58" i="1" s="1"/>
  <c r="B58" i="1"/>
  <c r="F58" i="1" s="1" a="1"/>
  <c r="F58" i="1" s="1"/>
  <c r="F57" i="1" a="1"/>
  <c r="F57" i="1" s="1"/>
  <c r="E57" i="1"/>
  <c r="E57" i="1" a="1"/>
  <c r="D57" i="1" a="1"/>
  <c r="D57" i="1" s="1"/>
  <c r="B57" i="1"/>
  <c r="F56" i="1" a="1"/>
  <c r="F56" i="1" s="1"/>
  <c r="E56" i="1" a="1"/>
  <c r="E56" i="1" s="1"/>
  <c r="D56" i="1" a="1"/>
  <c r="D56" i="1" s="1"/>
  <c r="B56" i="1"/>
  <c r="B55" i="1"/>
  <c r="F54" i="1" a="1"/>
  <c r="F54" i="1" s="1"/>
  <c r="E54" i="1" a="1"/>
  <c r="E54" i="1" s="1"/>
  <c r="B54" i="1"/>
  <c r="B53" i="1"/>
  <c r="F53" i="1" s="1" a="1"/>
  <c r="F53" i="1" s="1"/>
  <c r="B52" i="1"/>
  <c r="D52" i="1" s="1" a="1"/>
  <c r="D52" i="1" s="1"/>
  <c r="F51" i="1" a="1"/>
  <c r="F51" i="1" s="1"/>
  <c r="E51" i="1" a="1"/>
  <c r="E51" i="1" s="1"/>
  <c r="D51" i="1" a="1"/>
  <c r="D51" i="1" s="1"/>
  <c r="B51" i="1"/>
  <c r="F50" i="1" a="1"/>
  <c r="F50" i="1" s="1"/>
  <c r="E50" i="1" a="1"/>
  <c r="E50" i="1" s="1"/>
  <c r="D50" i="1" a="1"/>
  <c r="D50" i="1" s="1"/>
  <c r="B50" i="1"/>
  <c r="B49" i="1"/>
  <c r="B48" i="1"/>
  <c r="F47" i="1" a="1"/>
  <c r="F47" i="1" s="1"/>
  <c r="E47" i="1" a="1"/>
  <c r="E47" i="1" s="1"/>
  <c r="B47" i="1"/>
  <c r="D47" i="1" s="1" a="1"/>
  <c r="D47" i="1" s="1"/>
  <c r="F46" i="1" a="1"/>
  <c r="F46" i="1" s="1"/>
  <c r="E46" i="1" a="1"/>
  <c r="E46" i="1" s="1"/>
  <c r="B46" i="1"/>
  <c r="D46" i="1" s="1" a="1"/>
  <c r="D46" i="1" s="1"/>
  <c r="B45" i="1"/>
  <c r="D45" i="1" s="1" a="1"/>
  <c r="D45" i="1" s="1"/>
  <c r="F44" i="1" a="1"/>
  <c r="F44" i="1" s="1"/>
  <c r="B44" i="1"/>
  <c r="E44" i="1" s="1" a="1"/>
  <c r="E44" i="1" s="1"/>
  <c r="B43" i="1"/>
  <c r="F43" i="1" s="1" a="1"/>
  <c r="F43" i="1" s="1"/>
  <c r="B42" i="1"/>
  <c r="F42" i="1" s="1" a="1"/>
  <c r="F42" i="1" s="1"/>
  <c r="F41" i="1" a="1"/>
  <c r="F41" i="1" s="1"/>
  <c r="B41" i="1"/>
  <c r="D41" i="1" s="1" a="1"/>
  <c r="D41" i="1" s="1"/>
  <c r="B40" i="1"/>
  <c r="F40" i="1" s="1" a="1"/>
  <c r="F40" i="1" s="1"/>
  <c r="B39" i="1"/>
  <c r="F39" i="1" s="1" a="1"/>
  <c r="F39" i="1" s="1"/>
  <c r="F38" i="1" a="1"/>
  <c r="F38" i="1" s="1"/>
  <c r="B38" i="1"/>
  <c r="E38" i="1" s="1" a="1"/>
  <c r="E38" i="1" s="1"/>
  <c r="B37" i="1"/>
  <c r="F37" i="1" s="1" a="1"/>
  <c r="F37" i="1" s="1"/>
  <c r="B36" i="1"/>
  <c r="F36" i="1" s="1" a="1"/>
  <c r="F36" i="1" s="1"/>
  <c r="F35" i="1" a="1"/>
  <c r="F35" i="1" s="1"/>
  <c r="B35" i="1"/>
  <c r="E35" i="1" s="1" a="1"/>
  <c r="E35" i="1" s="1"/>
  <c r="B34" i="1"/>
  <c r="F34" i="1" s="1" a="1"/>
  <c r="F34" i="1" s="1"/>
  <c r="E33" i="1" a="1"/>
  <c r="E33" i="1" s="1"/>
  <c r="D33" i="1" a="1"/>
  <c r="D33" i="1" s="1"/>
  <c r="B33" i="1"/>
  <c r="F33" i="1" s="1" a="1"/>
  <c r="F33" i="1" s="1"/>
  <c r="B32" i="1"/>
  <c r="F32" i="1" s="1" a="1"/>
  <c r="F32" i="1" s="1"/>
  <c r="B31" i="1"/>
  <c r="D31" i="1" s="1" a="1"/>
  <c r="D31" i="1" s="1"/>
  <c r="B30" i="1"/>
  <c r="F30" i="1" s="1" a="1"/>
  <c r="F30" i="1" s="1"/>
  <c r="B29" i="1"/>
  <c r="F29" i="1" s="1" a="1"/>
  <c r="F29" i="1" s="1"/>
  <c r="B28" i="1"/>
  <c r="D28" i="1" s="1" a="1"/>
  <c r="D28" i="1" s="1"/>
  <c r="F27" i="1" a="1"/>
  <c r="F27" i="1" s="1"/>
  <c r="E27" i="1" a="1"/>
  <c r="E27" i="1" s="1"/>
  <c r="D27" i="1" a="1"/>
  <c r="D27" i="1" s="1"/>
  <c r="B27" i="1"/>
  <c r="F26" i="1" a="1"/>
  <c r="F26" i="1" s="1"/>
  <c r="E26" i="1" a="1"/>
  <c r="E26" i="1" s="1"/>
  <c r="D26" i="1" a="1"/>
  <c r="D26" i="1" s="1"/>
  <c r="B26" i="1"/>
  <c r="B25" i="1"/>
  <c r="F24" i="1" a="1"/>
  <c r="F24" i="1" s="1"/>
  <c r="E24" i="1"/>
  <c r="E24" i="1" a="1"/>
  <c r="B24" i="1"/>
  <c r="D24" i="1" s="1" a="1"/>
  <c r="D24" i="1" s="1"/>
  <c r="F23" i="1" a="1"/>
  <c r="F23" i="1" s="1"/>
  <c r="E23" i="1" a="1"/>
  <c r="E23" i="1" s="1"/>
  <c r="B23" i="1"/>
  <c r="D23" i="1" s="1" a="1"/>
  <c r="D23" i="1" s="1"/>
  <c r="B22" i="1"/>
  <c r="D22" i="1" s="1" a="1"/>
  <c r="D22" i="1" s="1"/>
  <c r="F21" i="1" a="1"/>
  <c r="F21" i="1" s="1"/>
  <c r="E21" i="1" a="1"/>
  <c r="E21" i="1" s="1"/>
  <c r="B21" i="1"/>
  <c r="D21" i="1" s="1" a="1"/>
  <c r="D21" i="1" s="1"/>
  <c r="F20" i="1" a="1"/>
  <c r="F20" i="1" s="1"/>
  <c r="E20" i="1" a="1"/>
  <c r="E20" i="1" s="1"/>
  <c r="B20" i="1"/>
  <c r="D20" i="1" s="1" a="1"/>
  <c r="D20" i="1" s="1"/>
  <c r="B19" i="1"/>
  <c r="F18" i="1"/>
  <c r="F18" i="1" a="1"/>
  <c r="B18" i="1"/>
  <c r="E18" i="1" s="1" a="1"/>
  <c r="E18" i="1" s="1"/>
  <c r="B17" i="1"/>
  <c r="F17" i="1" s="1" a="1"/>
  <c r="F17" i="1" s="1"/>
  <c r="B16" i="1"/>
  <c r="F16" i="1" s="1" a="1"/>
  <c r="F16" i="1" s="1"/>
  <c r="F15" i="1" a="1"/>
  <c r="F15" i="1" s="1"/>
  <c r="B15" i="1"/>
  <c r="E15" i="1" s="1" a="1"/>
  <c r="E15" i="1" s="1"/>
  <c r="B14" i="1"/>
  <c r="F14" i="1" s="1" a="1"/>
  <c r="F14" i="1" s="1"/>
  <c r="B13" i="1"/>
  <c r="F13" i="1" s="1" a="1"/>
  <c r="F13" i="1" s="1"/>
  <c r="B12" i="1"/>
  <c r="F12" i="1" s="1" a="1"/>
  <c r="F12" i="1" s="1"/>
  <c r="B11" i="1"/>
  <c r="D11" i="1" s="1" a="1"/>
  <c r="D11" i="1" s="1"/>
  <c r="B10" i="1"/>
  <c r="D10" i="1" s="1" a="1"/>
  <c r="D10" i="1" s="1"/>
  <c r="B9" i="1"/>
  <c r="F9" i="1" s="1" a="1"/>
  <c r="F9" i="1" s="1"/>
  <c r="B8" i="1"/>
  <c r="F7" i="1" a="1"/>
  <c r="F7" i="1" s="1"/>
  <c r="E7" i="1" a="1"/>
  <c r="E7" i="1" s="1"/>
  <c r="D7" i="1"/>
  <c r="D7" i="1" a="1"/>
  <c r="B7" i="1"/>
  <c r="F6" i="1" a="1"/>
  <c r="F6" i="1" s="1"/>
  <c r="E6" i="1" a="1"/>
  <c r="E6" i="1" s="1"/>
  <c r="D6" i="1" a="1"/>
  <c r="D6" i="1" s="1"/>
  <c r="B6" i="1"/>
  <c r="B5" i="1"/>
  <c r="F4" i="1" a="1"/>
  <c r="F4" i="1" s="1"/>
  <c r="E4" i="1" a="1"/>
  <c r="E4" i="1" s="1"/>
  <c r="B4" i="1"/>
  <c r="D4" i="1" s="1" a="1"/>
  <c r="D4" i="1" s="1"/>
  <c r="F3" i="1" a="1"/>
  <c r="F3" i="1" s="1"/>
  <c r="E3" i="1" a="1"/>
  <c r="E3" i="1" s="1"/>
  <c r="B3" i="1"/>
  <c r="D3" i="1" s="1" a="1"/>
  <c r="D3" i="1" s="1"/>
  <c r="B2" i="1"/>
  <c r="E55" i="1" l="1" a="1"/>
  <c r="E55" i="1" s="1"/>
  <c r="F55" i="1" a="1"/>
  <c r="F55" i="1" s="1"/>
  <c r="D55" i="1" a="1"/>
  <c r="D55" i="1" s="1"/>
  <c r="E5" i="1" a="1"/>
  <c r="E5" i="1" s="1"/>
  <c r="F5" i="1" a="1"/>
  <c r="F5" i="1" s="1"/>
  <c r="F10" i="1" a="1"/>
  <c r="F10" i="1" s="1"/>
  <c r="D8" i="1" a="1"/>
  <c r="D8" i="1" s="1"/>
  <c r="F8" i="1" a="1"/>
  <c r="F8" i="1" s="1"/>
  <c r="E8" i="1" a="1"/>
  <c r="E8" i="1" s="1"/>
  <c r="D49" i="1" a="1"/>
  <c r="D49" i="1" s="1"/>
  <c r="F49" i="1" a="1"/>
  <c r="F49" i="1" s="1"/>
  <c r="E49" i="1" a="1"/>
  <c r="E49" i="1" s="1"/>
  <c r="D16" i="1" a="1"/>
  <c r="D16" i="1" s="1"/>
  <c r="E10" i="1" a="1"/>
  <c r="E10" i="1" s="1"/>
  <c r="E30" i="1" a="1"/>
  <c r="E30" i="1" s="1"/>
  <c r="D13" i="1" a="1"/>
  <c r="D13" i="1" s="1"/>
  <c r="E42" i="1" a="1"/>
  <c r="E42" i="1" s="1"/>
  <c r="E16" i="1" a="1"/>
  <c r="E16" i="1" s="1"/>
  <c r="D36" i="1" a="1"/>
  <c r="D36" i="1" s="1"/>
  <c r="D30" i="1" a="1"/>
  <c r="D30" i="1" s="1"/>
  <c r="E36" i="1" a="1"/>
  <c r="E36" i="1" s="1"/>
  <c r="F19" i="1" a="1"/>
  <c r="F19" i="1" s="1"/>
  <c r="E19" i="1" a="1"/>
  <c r="E19" i="1" s="1"/>
  <c r="D19" i="1" a="1"/>
  <c r="D19" i="1" s="1"/>
  <c r="E39" i="1" a="1"/>
  <c r="E39" i="1" s="1"/>
  <c r="E22" i="1" a="1"/>
  <c r="E22" i="1" s="1"/>
  <c r="F22" i="1" a="1"/>
  <c r="F22" i="1" s="1"/>
  <c r="D42" i="1" a="1"/>
  <c r="D42" i="1" s="1"/>
  <c r="D5" i="1" a="1"/>
  <c r="D5" i="1" s="1"/>
  <c r="E45" i="1" a="1"/>
  <c r="E45" i="1" s="1"/>
  <c r="F45" i="1" a="1"/>
  <c r="F45" i="1" s="1"/>
  <c r="E25" i="1" a="1"/>
  <c r="E25" i="1" s="1"/>
  <c r="F25" i="1" a="1"/>
  <c r="F25" i="1" s="1"/>
  <c r="D25" i="1" a="1"/>
  <c r="D25" i="1" s="1"/>
  <c r="E13" i="1" a="1"/>
  <c r="E13" i="1" s="1"/>
  <c r="D58" i="1" a="1"/>
  <c r="D58" i="1" s="1"/>
  <c r="D14" i="1" a="1"/>
  <c r="D14" i="1" s="1"/>
  <c r="E28" i="1" a="1"/>
  <c r="E28" i="1" s="1"/>
  <c r="D34" i="1" a="1"/>
  <c r="D34" i="1" s="1"/>
  <c r="D40" i="1" a="1"/>
  <c r="D40" i="1" s="1"/>
  <c r="E52" i="1" a="1"/>
  <c r="E52" i="1" s="1"/>
  <c r="E11" i="1" a="1"/>
  <c r="E11" i="1" s="1"/>
  <c r="D17" i="1" a="1"/>
  <c r="D17" i="1" s="1"/>
  <c r="E31" i="1" a="1"/>
  <c r="E31" i="1" s="1"/>
  <c r="D37" i="1" a="1"/>
  <c r="D37" i="1" s="1"/>
  <c r="D43" i="1" a="1"/>
  <c r="D43" i="1" s="1"/>
  <c r="E14" i="1" a="1"/>
  <c r="E14" i="1" s="1"/>
  <c r="F28" i="1" a="1"/>
  <c r="F28" i="1" s="1"/>
  <c r="E34" i="1" a="1"/>
  <c r="E34" i="1" s="1"/>
  <c r="E40" i="1" a="1"/>
  <c r="E40" i="1" s="1"/>
  <c r="F52" i="1" a="1"/>
  <c r="F52" i="1" s="1"/>
  <c r="F11" i="1" a="1"/>
  <c r="F11" i="1" s="1"/>
  <c r="E17" i="1" a="1"/>
  <c r="E17" i="1" s="1"/>
  <c r="F31" i="1" a="1"/>
  <c r="F31" i="1" s="1"/>
  <c r="E37" i="1" a="1"/>
  <c r="E37" i="1" s="1"/>
  <c r="E43" i="1" a="1"/>
  <c r="E43" i="1" s="1"/>
  <c r="D9" i="1" a="1"/>
  <c r="D9" i="1" s="1"/>
  <c r="D29" i="1" a="1"/>
  <c r="D29" i="1" s="1"/>
  <c r="E9" i="1" a="1"/>
  <c r="E9" i="1" s="1"/>
  <c r="D15" i="1" a="1"/>
  <c r="D15" i="1" s="1"/>
  <c r="E53" i="1" a="1"/>
  <c r="E53" i="1" s="1"/>
  <c r="D53" i="1" a="1"/>
  <c r="D53" i="1" s="1"/>
  <c r="D59" i="1" a="1"/>
  <c r="D59" i="1" s="1"/>
  <c r="D12" i="1" a="1"/>
  <c r="D12" i="1" s="1"/>
  <c r="E29" i="1" a="1"/>
  <c r="E29" i="1" s="1"/>
  <c r="D35" i="1" a="1"/>
  <c r="D35" i="1" s="1"/>
  <c r="E41" i="1" a="1"/>
  <c r="E41" i="1" s="1"/>
  <c r="D32" i="1" a="1"/>
  <c r="D32" i="1" s="1"/>
  <c r="E12" i="1" a="1"/>
  <c r="E12" i="1" s="1"/>
  <c r="D18" i="1" a="1"/>
  <c r="D18" i="1" s="1"/>
  <c r="E32" i="1" a="1"/>
  <c r="E32" i="1" s="1"/>
  <c r="D38" i="1" a="1"/>
  <c r="D38" i="1" s="1"/>
  <c r="D44" i="1" a="1"/>
  <c r="D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<sst xmlns="http://schemas.openxmlformats.org/spreadsheetml/2006/main" count="267" uniqueCount="192">
  <si>
    <t>Row</t>
  </si>
  <si>
    <t>Index</t>
  </si>
  <si>
    <t>Codigo</t>
  </si>
  <si>
    <t>Usuario</t>
  </si>
  <si>
    <t>Puesto</t>
  </si>
  <si>
    <t>Departamento</t>
  </si>
  <si>
    <t>Manager</t>
  </si>
  <si>
    <t>Correo</t>
  </si>
  <si>
    <t>Password</t>
  </si>
  <si>
    <t>Estatus</t>
  </si>
  <si>
    <t>Comentarios</t>
  </si>
  <si>
    <t>0</t>
  </si>
  <si>
    <t>Jose Angel Trillo Villaseñor</t>
  </si>
  <si>
    <t>Director General</t>
  </si>
  <si>
    <t>Direccion</t>
  </si>
  <si>
    <t>jtrillo@pkf.com.mx</t>
  </si>
  <si>
    <t>DNod963591!</t>
  </si>
  <si>
    <t>001</t>
  </si>
  <si>
    <t>jfernandez@pkf.com.mx</t>
  </si>
  <si>
    <t>acastillo@pkf.com.mx</t>
  </si>
  <si>
    <t>MsoO488268@</t>
  </si>
  <si>
    <t>EQUIPO JULIO</t>
  </si>
  <si>
    <t>073</t>
  </si>
  <si>
    <t>hrodriguez@pkf.com.mx</t>
  </si>
  <si>
    <t>QaqA798265@</t>
  </si>
  <si>
    <t>004</t>
  </si>
  <si>
    <t>nporras@pkf.com.mx</t>
  </si>
  <si>
    <t>NiwA633646@</t>
  </si>
  <si>
    <t>006</t>
  </si>
  <si>
    <t>azarate@pkf.com.mx</t>
  </si>
  <si>
    <t>msanchez@pkf.com.mx</t>
  </si>
  <si>
    <t>Hrzk654392!</t>
  </si>
  <si>
    <t>012</t>
  </si>
  <si>
    <t>ggonzalez@pkf.com.mx</t>
  </si>
  <si>
    <t>WAjk615957#</t>
  </si>
  <si>
    <t>013</t>
  </si>
  <si>
    <t>ntellez@pkf.com.mx</t>
  </si>
  <si>
    <t>lcgarcia@pkf.com.mx</t>
  </si>
  <si>
    <t>YXax345445#</t>
  </si>
  <si>
    <t>017</t>
  </si>
  <si>
    <t>cvidales@pkf.com.mx</t>
  </si>
  <si>
    <t>Wxkc497252@</t>
  </si>
  <si>
    <t>018</t>
  </si>
  <si>
    <t>gmartinez@pkf.com.mx</t>
  </si>
  <si>
    <t>QQIs249376!</t>
  </si>
  <si>
    <t>BAJA</t>
  </si>
  <si>
    <t>019</t>
  </si>
  <si>
    <t>rceballos@pkf.com.mx</t>
  </si>
  <si>
    <t>TYaC446278!</t>
  </si>
  <si>
    <t>020</t>
  </si>
  <si>
    <t>antonio.garcia@pkf.com.mx</t>
  </si>
  <si>
    <t>KcFB997792#</t>
  </si>
  <si>
    <t>021</t>
  </si>
  <si>
    <t>jmartinez@pkf.com.mx</t>
  </si>
  <si>
    <t>Vqwa619695!</t>
  </si>
  <si>
    <t>023</t>
  </si>
  <si>
    <t>dmarquez@pkf.com.mx</t>
  </si>
  <si>
    <t>Frtw454645!</t>
  </si>
  <si>
    <t>027</t>
  </si>
  <si>
    <t>gmtorres@pkf.com.mx</t>
  </si>
  <si>
    <t>QKhZ473211#</t>
  </si>
  <si>
    <t>028</t>
  </si>
  <si>
    <t>rimaldonado@pkf.com.mx</t>
  </si>
  <si>
    <t>fmartinez@pkf.com.mx</t>
  </si>
  <si>
    <t>HxsW455876!</t>
  </si>
  <si>
    <t>EQUIPO RICARDO</t>
  </si>
  <si>
    <t>029</t>
  </si>
  <si>
    <t>bgeraldo@pkf.com.mx</t>
  </si>
  <si>
    <t>JPLl172288#</t>
  </si>
  <si>
    <t>032</t>
  </si>
  <si>
    <t>gcontreras@pkf.com.mx</t>
  </si>
  <si>
    <t>cduarte@pkf.com.mx</t>
  </si>
  <si>
    <t>JXwj554148!</t>
  </si>
  <si>
    <t>037</t>
  </si>
  <si>
    <t>JFbQ371818!</t>
  </si>
  <si>
    <t>039</t>
  </si>
  <si>
    <t>nalvarado@pkf.com.mx</t>
  </si>
  <si>
    <t>ToWk726785!</t>
  </si>
  <si>
    <t>040</t>
  </si>
  <si>
    <t>LXmx254645!</t>
  </si>
  <si>
    <t>042</t>
  </si>
  <si>
    <t>sgarza@pkf.com.mx</t>
  </si>
  <si>
    <t>PdbM848416@</t>
  </si>
  <si>
    <t>049</t>
  </si>
  <si>
    <t>ncortez@pkf.com.mx</t>
  </si>
  <si>
    <t>JxsT474236@</t>
  </si>
  <si>
    <t>050</t>
  </si>
  <si>
    <t>sramirez@pkf.com.mx</t>
  </si>
  <si>
    <t>rgruiz@pkf.com.mx</t>
  </si>
  <si>
    <t>WVXO131686!</t>
  </si>
  <si>
    <t>053</t>
  </si>
  <si>
    <t>vaguilar@pkf.com.mx</t>
  </si>
  <si>
    <t>ZEqW174742#</t>
  </si>
  <si>
    <t>074</t>
  </si>
  <si>
    <t>facturacion.mty@pkf.com.mx</t>
  </si>
  <si>
    <t>KUOE937453!</t>
  </si>
  <si>
    <t>083</t>
  </si>
  <si>
    <t>pmartinez@pkf.com.mx</t>
  </si>
  <si>
    <t>QnKi352SV4xX</t>
  </si>
  <si>
    <t>059</t>
  </si>
  <si>
    <t>ccuellar@pkf.com.mx</t>
  </si>
  <si>
    <t>LBCC719319#</t>
  </si>
  <si>
    <t>060</t>
  </si>
  <si>
    <t>jpuente@pkf.com.mx</t>
  </si>
  <si>
    <t>FjrK462544!</t>
  </si>
  <si>
    <t>030</t>
  </si>
  <si>
    <t>cgrimaldo@pkf.com.mx</t>
  </si>
  <si>
    <t>CAYn844631@</t>
  </si>
  <si>
    <t>062</t>
  </si>
  <si>
    <t>MkQh477634#</t>
  </si>
  <si>
    <t>063</t>
  </si>
  <si>
    <t>enunez@pkf.com.mx</t>
  </si>
  <si>
    <t>Lzoo466572!</t>
  </si>
  <si>
    <t>066</t>
  </si>
  <si>
    <t>desparza@pkf.com.mx</t>
  </si>
  <si>
    <t>FILQ869694#</t>
  </si>
  <si>
    <t>068</t>
  </si>
  <si>
    <t>staff.auditoria@pkf.com.mx</t>
  </si>
  <si>
    <t>FXbu557351!</t>
  </si>
  <si>
    <t>069</t>
  </si>
  <si>
    <t>omoreno@pkf.com.mx</t>
  </si>
  <si>
    <t>SKnk699586@</t>
  </si>
  <si>
    <t>071</t>
  </si>
  <si>
    <t>KLgj955375#</t>
  </si>
  <si>
    <t>072</t>
  </si>
  <si>
    <t>staff.mty@pkf.com.mx</t>
  </si>
  <si>
    <t>PZNI656818#</t>
  </si>
  <si>
    <t>dsaucedo@pkf.com.mx</t>
  </si>
  <si>
    <t>PysF995851!</t>
  </si>
  <si>
    <t>Cuenta Anterior Daniela Garza</t>
  </si>
  <si>
    <t>contabilidad.mty@pkf.com.mx</t>
  </si>
  <si>
    <t>WRDj132763@</t>
  </si>
  <si>
    <t>075</t>
  </si>
  <si>
    <t>Zryj624689!</t>
  </si>
  <si>
    <t>076</t>
  </si>
  <si>
    <t>oherrera@pkf.com.mx</t>
  </si>
  <si>
    <t>NJTf564696!</t>
  </si>
  <si>
    <t>077</t>
  </si>
  <si>
    <t>mpalacios@pkf.com.mx</t>
  </si>
  <si>
    <t>NZOs272847!</t>
  </si>
  <si>
    <t>078</t>
  </si>
  <si>
    <t>jguerrero@pkf.com.mx</t>
  </si>
  <si>
    <t>FmuU146838@</t>
  </si>
  <si>
    <t>079</t>
  </si>
  <si>
    <t>evalli@pkf.com.mx</t>
  </si>
  <si>
    <t>############</t>
  </si>
  <si>
    <t>080</t>
  </si>
  <si>
    <t>jmsauceda@pkf.com.mx</t>
  </si>
  <si>
    <t>DkAq753721!</t>
  </si>
  <si>
    <t>082</t>
  </si>
  <si>
    <t>mrosales@pkf.com.mx</t>
  </si>
  <si>
    <t>MfiY892254@</t>
  </si>
  <si>
    <t>084</t>
  </si>
  <si>
    <t>mmuniz@pkf.com.mx</t>
  </si>
  <si>
    <t>J#747201987740ov</t>
  </si>
  <si>
    <t>Janeth Turrubiates</t>
  </si>
  <si>
    <t>jturrubiates@pkf.com.mx</t>
  </si>
  <si>
    <t>u6HyFm9u16Qg</t>
  </si>
  <si>
    <t>085</t>
  </si>
  <si>
    <t>rhhernandez@pkf.com.mx</t>
  </si>
  <si>
    <t>Tez5273890*</t>
  </si>
  <si>
    <t>086</t>
  </si>
  <si>
    <t>lvazquez@pkf.com.mx</t>
  </si>
  <si>
    <t>Yup62738*</t>
  </si>
  <si>
    <t>087</t>
  </si>
  <si>
    <t>dcgarcia@pkf.com.mx</t>
  </si>
  <si>
    <t>Rep564738*</t>
  </si>
  <si>
    <t>088</t>
  </si>
  <si>
    <t>rflores@pkf.com.mx</t>
  </si>
  <si>
    <t>Pub56789*</t>
  </si>
  <si>
    <t>089</t>
  </si>
  <si>
    <t>gvillasana@pkf.com.mx</t>
  </si>
  <si>
    <t>Zep82743$</t>
  </si>
  <si>
    <t>041</t>
  </si>
  <si>
    <t>Disponible - Javier Monjaraz</t>
  </si>
  <si>
    <t>jmonjaraz@pkf.com.mx</t>
  </si>
  <si>
    <t>GmEC196662!</t>
  </si>
  <si>
    <t>090</t>
  </si>
  <si>
    <t>faraujo@pkf.com.mx</t>
  </si>
  <si>
    <t>HtfK269347@</t>
  </si>
  <si>
    <t>091</t>
  </si>
  <si>
    <t>ahernandez@pkf.com.mx</t>
  </si>
  <si>
    <t>Kaw12352*</t>
  </si>
  <si>
    <t>092</t>
  </si>
  <si>
    <t>iuicab@pkf.com.mx</t>
  </si>
  <si>
    <t>Xav56748*</t>
  </si>
  <si>
    <t>093</t>
  </si>
  <si>
    <t>adelgadillo@pkf.com.mx</t>
  </si>
  <si>
    <t>Fad47365!</t>
  </si>
  <si>
    <t>094</t>
  </si>
  <si>
    <t>lhernandez@pkf.com.mx</t>
  </si>
  <si>
    <t>Gad4657$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</si>
</sst>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Border="1"/>
    <xf numFmtId="0" fontId="4" fillId="0" borderId="0" xfId="2" applyFont="1" applyAlignment="1">
      <alignment horizontal="left" vertical="top"/>
    </xf>
    <xf numFmtId="49" fontId="0" fillId="0" borderId="0" xfId="0" quotePrefix="1" applyNumberFormat="1" applyAlignment="1">
      <alignment horizontal="center" vertical="center"/>
    </xf>
    <xf numFmtId="0" fontId="2" fillId="0" borderId="0" xfId="1"/>
    <xf numFmtId="0" fontId="2" fillId="0" borderId="0" xfId="1" applyNumberFormat="1"/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</cellXfs>
  <cellStyles count="3">
    <cellStyle name="Hyperlink" xfId="1" builtinId="8"/>
    <cellStyle name="Normal" xfId="0" builtinId="0"/>
    <cellStyle name="Normal_Cuentas de correo dominio pkf-mexico.com" xfId="2" xr:uid="{B13223B1-BF0B-4325-867D-FC636F258A6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xpkf-my.sharepoint.com/personal/evalli_pkf_com_mx/Documents/TI/02%20-%20Infraestructura/05%20-%20Inventario/Inventario%20General%20PKF%20MTY.xlsx" TargetMode="External"/><Relationship Id="rId1" Type="http://schemas.openxmlformats.org/officeDocument/2006/relationships/externalLinkPath" Target="https://mxpkf-my.sharepoint.com/personal/evalli_pkf_com_mx/Documents/TI/02%20-%20Infraestructura/05%20-%20Inventario/Inventario%20General%20PKF%20M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Computo"/>
      <sheetName val="ACTIVOS BAJA"/>
      <sheetName val="Directorio"/>
      <sheetName val="Contpaqi"/>
      <sheetName val="MiAdminXML"/>
      <sheetName val="Caseware"/>
      <sheetName val="Cuentas"/>
      <sheetName val="SQL"/>
      <sheetName val="Email"/>
      <sheetName val="MS365"/>
      <sheetName val="EmpleadosPK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97E25-603E-4BED-9266-29427C9157FC}" name="tMS" displayName="tMS" ref="A1:K59" totalsRowShown="0">
  <autoFilter ref="A1:K59" xr:uid="{D6ECBBE6-AE28-43C8-B09D-40BF55ABDD92}"/>
  <sortState xmlns:xlrd2="http://schemas.microsoft.com/office/spreadsheetml/2017/richdata2" ref="A2:I21">
    <sortCondition ref="B1:B55"/>
  </sortState>
  <tableColumns count="11">
    <tableColumn id="6" xr3:uid="{38FF6C40-D3EA-42FA-9A45-F0C8EDD592AB}" name="Row" dataDxfId="6"/>
    <tableColumn id="5" xr3:uid="{CBE6696F-693E-4D7F-9EA4-78B769C12155}" name="Index" dataDxfId="5">
      <calculatedColumnFormula>IF(tMS[[#This Row],[Codigo]] = "0", 0, MATCH(tMS[[#This Row],[Codigo]],[1]!EmpleadosPKF[Codigo],0))</calculatedColumnFormula>
    </tableColumn>
    <tableColumn id="1" xr3:uid="{A6D8FB57-BE0F-4B04-92E8-5F95D2E5F499}" name="Codigo" dataDxfId="4"/>
    <tableColumn id="2" xr3:uid="{7F338C9C-890A-4435-A64B-345A622A6DA6}" name="Usuario" dataDxfId="3">
      <calculatedColumnFormula array="1">INDEX(#REF!,MATCH(tMS[[#This Row],[Correo]],#REF!,0),0)</calculatedColumnFormula>
    </tableColumn>
    <tableColumn id="9" xr3:uid="{D03944AD-AC71-489E-AC0F-A52525778D9F}" name="Puesto" dataDxfId="2">
      <calculatedColumnFormula array="1">IFERROR(INDEX([1]!EmpleadosPKF[Puesto],tMS[[#This Row],[Codigo]]),"")</calculatedColumnFormula>
    </tableColumn>
    <tableColumn id="10" xr3:uid="{8070C22A-8BAB-43EC-AC0D-C50BB9A005A2}" name="Departamento"/>
    <tableColumn id="11" xr3:uid="{B2C35367-06D2-4440-89B4-471CC71B4CD9}" name="Manager"/>
    <tableColumn id="3" xr3:uid="{F4C55EBA-EA3B-4B37-B4A0-2CDDCB96599B}" name="Correo"/>
    <tableColumn id="4" xr3:uid="{D3873720-45B0-4B3C-9E9C-2E2D101E7D62}" name="Password" dataDxfId="1">
      <calculatedColumnFormula array="1">INDEX([1]!tEmail[PASSWORD],MATCH(tMS[[#This Row],[Correo]],[1]!tEmail[EMAIL],0 ),0)</calculatedColumnFormula>
    </tableColumn>
    <tableColumn id="7" xr3:uid="{E496C173-07FD-4CEE-BE51-D1834B7C18B4}" name="Estatus" dataDxfId="0" dataCellStyle="Normal_Cuentas de correo dominio pkf-mexico.com"/>
    <tableColumn id="8" xr3:uid="{F222FF14-D1A0-40D5-9AF0-E5A338D310BE}" name="Comentari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fernandez@pkf.com.mx" TargetMode="External"/><Relationship Id="rId21" Type="http://schemas.openxmlformats.org/officeDocument/2006/relationships/hyperlink" Target="mailto:hrodriguez@pkf.com.mx" TargetMode="External"/><Relationship Id="rId42" Type="http://schemas.openxmlformats.org/officeDocument/2006/relationships/hyperlink" Target="mailto:azarate@pkf.com.mx" TargetMode="External"/><Relationship Id="rId47" Type="http://schemas.openxmlformats.org/officeDocument/2006/relationships/hyperlink" Target="mailto:gcontreras@pkf.com.mx" TargetMode="External"/><Relationship Id="rId63" Type="http://schemas.openxmlformats.org/officeDocument/2006/relationships/hyperlink" Target="mailto:NiwA633646@" TargetMode="External"/><Relationship Id="rId68" Type="http://schemas.openxmlformats.org/officeDocument/2006/relationships/hyperlink" Target="mailto:rimaldonado@pkf.com.mx" TargetMode="External"/><Relationship Id="rId84" Type="http://schemas.openxmlformats.org/officeDocument/2006/relationships/hyperlink" Target="mailto:FmuU146838@" TargetMode="External"/><Relationship Id="rId89" Type="http://schemas.openxmlformats.org/officeDocument/2006/relationships/hyperlink" Target="mailto:faraujo@pkf.com.mx" TargetMode="External"/><Relationship Id="rId16" Type="http://schemas.openxmlformats.org/officeDocument/2006/relationships/hyperlink" Target="mailto:nporras@pkf.com.mx" TargetMode="External"/><Relationship Id="rId11" Type="http://schemas.openxmlformats.org/officeDocument/2006/relationships/hyperlink" Target="mailto:jtrillo@pkf.com.mx" TargetMode="External"/><Relationship Id="rId32" Type="http://schemas.openxmlformats.org/officeDocument/2006/relationships/hyperlink" Target="mailto:rimaldonado@pkf.com.mx" TargetMode="External"/><Relationship Id="rId37" Type="http://schemas.openxmlformats.org/officeDocument/2006/relationships/hyperlink" Target="mailto:antonio.garcia@pkf.com.mx" TargetMode="External"/><Relationship Id="rId53" Type="http://schemas.openxmlformats.org/officeDocument/2006/relationships/hyperlink" Target="mailto:jtrillo@pkf.com.mx" TargetMode="External"/><Relationship Id="rId58" Type="http://schemas.openxmlformats.org/officeDocument/2006/relationships/hyperlink" Target="mailto:WRDj132763@" TargetMode="External"/><Relationship Id="rId74" Type="http://schemas.openxmlformats.org/officeDocument/2006/relationships/hyperlink" Target="mailto:msanchez@pkf.com.mx" TargetMode="External"/><Relationship Id="rId79" Type="http://schemas.openxmlformats.org/officeDocument/2006/relationships/hyperlink" Target="mailto:dsaucedo@pkf.com.mx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mailto:contabilidad.mty@pkf.com.mx" TargetMode="External"/><Relationship Id="rId90" Type="http://schemas.openxmlformats.org/officeDocument/2006/relationships/hyperlink" Target="mailto:ahernandez@pkf.com.mx" TargetMode="External"/><Relationship Id="rId95" Type="http://schemas.openxmlformats.org/officeDocument/2006/relationships/hyperlink" Target="mailto:jtrillo@pkf.com.mx" TargetMode="External"/><Relationship Id="rId22" Type="http://schemas.openxmlformats.org/officeDocument/2006/relationships/hyperlink" Target="mailto:hrodriguez@pkf.com.mx" TargetMode="External"/><Relationship Id="rId27" Type="http://schemas.openxmlformats.org/officeDocument/2006/relationships/hyperlink" Target="mailto:jfernandez@pkf.com.mx" TargetMode="External"/><Relationship Id="rId43" Type="http://schemas.openxmlformats.org/officeDocument/2006/relationships/hyperlink" Target="mailto:azarate@pkf.com.mx" TargetMode="External"/><Relationship Id="rId48" Type="http://schemas.openxmlformats.org/officeDocument/2006/relationships/hyperlink" Target="mailto:gcontreras@pkf.com.mx" TargetMode="External"/><Relationship Id="rId64" Type="http://schemas.openxmlformats.org/officeDocument/2006/relationships/hyperlink" Target="mailto:PdbM848416@" TargetMode="External"/><Relationship Id="rId69" Type="http://schemas.openxmlformats.org/officeDocument/2006/relationships/hyperlink" Target="mailto:dcgarcia@pkf.com.mx" TargetMode="External"/><Relationship Id="rId80" Type="http://schemas.openxmlformats.org/officeDocument/2006/relationships/hyperlink" Target="mailto:ncortez@pkf.com.mx" TargetMode="External"/><Relationship Id="rId85" Type="http://schemas.openxmlformats.org/officeDocument/2006/relationships/hyperlink" Target="mailto:MsoO488268@" TargetMode="External"/><Relationship Id="rId12" Type="http://schemas.openxmlformats.org/officeDocument/2006/relationships/hyperlink" Target="mailto:jtrillo@pkf.com.mx" TargetMode="External"/><Relationship Id="rId17" Type="http://schemas.openxmlformats.org/officeDocument/2006/relationships/hyperlink" Target="mailto:nporras@pkf.com.mx" TargetMode="External"/><Relationship Id="rId25" Type="http://schemas.openxmlformats.org/officeDocument/2006/relationships/hyperlink" Target="mailto:jfernandez@pkf.com.mx" TargetMode="External"/><Relationship Id="rId33" Type="http://schemas.openxmlformats.org/officeDocument/2006/relationships/hyperlink" Target="mailto:pmartinez@pkf.com.mx" TargetMode="External"/><Relationship Id="rId38" Type="http://schemas.openxmlformats.org/officeDocument/2006/relationships/hyperlink" Target="mailto:jmartinez@pkf.com.mx" TargetMode="External"/><Relationship Id="rId46" Type="http://schemas.openxmlformats.org/officeDocument/2006/relationships/hyperlink" Target="mailto:antonio.garcia@pkf.com.mx" TargetMode="External"/><Relationship Id="rId59" Type="http://schemas.openxmlformats.org/officeDocument/2006/relationships/hyperlink" Target="mailto:jturrubiates@pkf.com.mx" TargetMode="External"/><Relationship Id="rId67" Type="http://schemas.openxmlformats.org/officeDocument/2006/relationships/hyperlink" Target="mailto:lvazquez@pkf.com.mx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mailto:hrodriguez@pkf.com.mx" TargetMode="External"/><Relationship Id="rId41" Type="http://schemas.openxmlformats.org/officeDocument/2006/relationships/hyperlink" Target="mailto:antonio.garcia@pkf.com.mx" TargetMode="External"/><Relationship Id="rId54" Type="http://schemas.openxmlformats.org/officeDocument/2006/relationships/hyperlink" Target="mailto:rimaldonado@pkf.com.mx" TargetMode="External"/><Relationship Id="rId62" Type="http://schemas.openxmlformats.org/officeDocument/2006/relationships/hyperlink" Target="mailto:CAYn844631@" TargetMode="External"/><Relationship Id="rId70" Type="http://schemas.openxmlformats.org/officeDocument/2006/relationships/hyperlink" Target="mailto:jfernandez@pkf.com.mx" TargetMode="External"/><Relationship Id="rId75" Type="http://schemas.openxmlformats.org/officeDocument/2006/relationships/hyperlink" Target="mailto:msanchez@pkf.com.mx" TargetMode="External"/><Relationship Id="rId83" Type="http://schemas.openxmlformats.org/officeDocument/2006/relationships/hyperlink" Target="mailto:rgruiz@pkf.com.mx" TargetMode="External"/><Relationship Id="rId88" Type="http://schemas.openxmlformats.org/officeDocument/2006/relationships/hyperlink" Target="mailto:gmartinez@pkf.com.mx" TargetMode="External"/><Relationship Id="rId91" Type="http://schemas.openxmlformats.org/officeDocument/2006/relationships/hyperlink" Target="mailto:HtfK269347@" TargetMode="External"/><Relationship Id="rId96" Type="http://schemas.openxmlformats.org/officeDocument/2006/relationships/hyperlink" Target="mailto:rimaldonado@pkf.com.mx" TargetMode="External"/><Relationship Id="rId1" Type="http://schemas.openxmlformats.org/officeDocument/2006/relationships/hyperlink" Target="mailto:jtrillo@pkf.com.mx" TargetMode="External"/><Relationship Id="rId6" Type="http://schemas.openxmlformats.org/officeDocument/2006/relationships/hyperlink" Target="mailto:jtrillo@pkf.com.mx" TargetMode="External"/><Relationship Id="rId15" Type="http://schemas.openxmlformats.org/officeDocument/2006/relationships/hyperlink" Target="mailto:nporras@pkf.com.mx" TargetMode="External"/><Relationship Id="rId23" Type="http://schemas.openxmlformats.org/officeDocument/2006/relationships/hyperlink" Target="mailto:jfernandez@pkf.com.mx" TargetMode="External"/><Relationship Id="rId28" Type="http://schemas.openxmlformats.org/officeDocument/2006/relationships/hyperlink" Target="mailto:jfernandez@pkf.com.mx" TargetMode="External"/><Relationship Id="rId36" Type="http://schemas.openxmlformats.org/officeDocument/2006/relationships/hyperlink" Target="mailto:rimaldonado@pkf.com.mx" TargetMode="External"/><Relationship Id="rId49" Type="http://schemas.openxmlformats.org/officeDocument/2006/relationships/hyperlink" Target="mailto:gcontreras@pkf.com.mx" TargetMode="External"/><Relationship Id="rId57" Type="http://schemas.openxmlformats.org/officeDocument/2006/relationships/hyperlink" Target="mailto:jpuente@pkf.com.mx" TargetMode="External"/><Relationship Id="rId10" Type="http://schemas.openxmlformats.org/officeDocument/2006/relationships/hyperlink" Target="mailto:jtrillo@pkf.com.mx" TargetMode="External"/><Relationship Id="rId31" Type="http://schemas.openxmlformats.org/officeDocument/2006/relationships/hyperlink" Target="mailto:rimaldonado@pkf.com.mx" TargetMode="External"/><Relationship Id="rId44" Type="http://schemas.openxmlformats.org/officeDocument/2006/relationships/hyperlink" Target="mailto:azarate@pkf.com.mx" TargetMode="External"/><Relationship Id="rId52" Type="http://schemas.openxmlformats.org/officeDocument/2006/relationships/hyperlink" Target="mailto:gcontreras@pkf.com.mx" TargetMode="External"/><Relationship Id="rId60" Type="http://schemas.openxmlformats.org/officeDocument/2006/relationships/hyperlink" Target="mailto:jtrillo@pkf.com.mx" TargetMode="External"/><Relationship Id="rId65" Type="http://schemas.openxmlformats.org/officeDocument/2006/relationships/hyperlink" Target="mailto:rhhernandez@pkf.com.mx" TargetMode="External"/><Relationship Id="rId73" Type="http://schemas.openxmlformats.org/officeDocument/2006/relationships/hyperlink" Target="mailto:rflores@pkf.com.mx" TargetMode="External"/><Relationship Id="rId78" Type="http://schemas.openxmlformats.org/officeDocument/2006/relationships/hyperlink" Target="mailto:staff.auditoria@pkf.com.mx" TargetMode="External"/><Relationship Id="rId81" Type="http://schemas.openxmlformats.org/officeDocument/2006/relationships/hyperlink" Target="mailto:JxsT474236@" TargetMode="External"/><Relationship Id="rId86" Type="http://schemas.openxmlformats.org/officeDocument/2006/relationships/hyperlink" Target="mailto:enunez@pkf.com.mx" TargetMode="External"/><Relationship Id="rId94" Type="http://schemas.openxmlformats.org/officeDocument/2006/relationships/hyperlink" Target="mailto:ggonzalez@pkf.com.mx" TargetMode="External"/><Relationship Id="rId99" Type="http://schemas.openxmlformats.org/officeDocument/2006/relationships/hyperlink" Target="mailto:msanchez@pkf.com.mx" TargetMode="External"/><Relationship Id="rId101" Type="http://schemas.openxmlformats.org/officeDocument/2006/relationships/hyperlink" Target="mailto:rimaldonado@pkf.com.mx" TargetMode="External"/><Relationship Id="rId4" Type="http://schemas.openxmlformats.org/officeDocument/2006/relationships/hyperlink" Target="mailto:jtrillo@pkf.com.mx" TargetMode="External"/><Relationship Id="rId9" Type="http://schemas.openxmlformats.org/officeDocument/2006/relationships/hyperlink" Target="mailto:jtrillo@pkf.com.mx" TargetMode="External"/><Relationship Id="rId13" Type="http://schemas.openxmlformats.org/officeDocument/2006/relationships/hyperlink" Target="mailto:ntellez@pkf.com.mx" TargetMode="External"/><Relationship Id="rId18" Type="http://schemas.openxmlformats.org/officeDocument/2006/relationships/hyperlink" Target="mailto:sramirez@pkf.com.mx" TargetMode="External"/><Relationship Id="rId39" Type="http://schemas.openxmlformats.org/officeDocument/2006/relationships/hyperlink" Target="mailto:jmartinez@pkf.com.mx" TargetMode="External"/><Relationship Id="rId34" Type="http://schemas.openxmlformats.org/officeDocument/2006/relationships/hyperlink" Target="mailto:jmsauceda@pkf.com.mx" TargetMode="External"/><Relationship Id="rId50" Type="http://schemas.openxmlformats.org/officeDocument/2006/relationships/hyperlink" Target="mailto:gcontreras@pkf.com.mx" TargetMode="External"/><Relationship Id="rId55" Type="http://schemas.openxmlformats.org/officeDocument/2006/relationships/hyperlink" Target="mailto:vaguilar@pkf.com.mx" TargetMode="External"/><Relationship Id="rId76" Type="http://schemas.openxmlformats.org/officeDocument/2006/relationships/hyperlink" Target="mailto:gvillasana@pkf.com.mx" TargetMode="External"/><Relationship Id="rId97" Type="http://schemas.openxmlformats.org/officeDocument/2006/relationships/hyperlink" Target="mailto:jmonjaraz@pkf.com.mx" TargetMode="External"/><Relationship Id="rId7" Type="http://schemas.openxmlformats.org/officeDocument/2006/relationships/hyperlink" Target="mailto:jtrillo@pkf.com.mx" TargetMode="External"/><Relationship Id="rId71" Type="http://schemas.openxmlformats.org/officeDocument/2006/relationships/hyperlink" Target="mailto:SKnk699586@" TargetMode="External"/><Relationship Id="rId92" Type="http://schemas.openxmlformats.org/officeDocument/2006/relationships/hyperlink" Target="mailto:jtrillo@pkf.com.mx" TargetMode="External"/><Relationship Id="rId2" Type="http://schemas.openxmlformats.org/officeDocument/2006/relationships/hyperlink" Target="mailto:lcgarcia@pkf.com.mx" TargetMode="External"/><Relationship Id="rId29" Type="http://schemas.openxmlformats.org/officeDocument/2006/relationships/hyperlink" Target="mailto:jfernandez@pkf.com.mx" TargetMode="External"/><Relationship Id="rId24" Type="http://schemas.openxmlformats.org/officeDocument/2006/relationships/hyperlink" Target="mailto:jfernandez@pkf.com.mx" TargetMode="External"/><Relationship Id="rId40" Type="http://schemas.openxmlformats.org/officeDocument/2006/relationships/hyperlink" Target="mailto:jmartinez@pkf.com.mx" TargetMode="External"/><Relationship Id="rId45" Type="http://schemas.openxmlformats.org/officeDocument/2006/relationships/hyperlink" Target="mailto:azarate@pkf.com.mx" TargetMode="External"/><Relationship Id="rId66" Type="http://schemas.openxmlformats.org/officeDocument/2006/relationships/hyperlink" Target="mailto:nalvarado@pkf.com.mx" TargetMode="External"/><Relationship Id="rId87" Type="http://schemas.openxmlformats.org/officeDocument/2006/relationships/hyperlink" Target="mailto:jmartinez@pkf.com.mx" TargetMode="External"/><Relationship Id="rId61" Type="http://schemas.openxmlformats.org/officeDocument/2006/relationships/hyperlink" Target="mailto:QaqA798265@" TargetMode="External"/><Relationship Id="rId82" Type="http://schemas.openxmlformats.org/officeDocument/2006/relationships/hyperlink" Target="mailto:nporras@pkf.com.mx" TargetMode="External"/><Relationship Id="rId19" Type="http://schemas.openxmlformats.org/officeDocument/2006/relationships/hyperlink" Target="mailto:sramirez@pkf.com.mx" TargetMode="External"/><Relationship Id="rId14" Type="http://schemas.openxmlformats.org/officeDocument/2006/relationships/hyperlink" Target="mailto:ntellez@pkf.com.mx" TargetMode="External"/><Relationship Id="rId30" Type="http://schemas.openxmlformats.org/officeDocument/2006/relationships/hyperlink" Target="mailto:jfernandez@pkf.com.mx" TargetMode="External"/><Relationship Id="rId35" Type="http://schemas.openxmlformats.org/officeDocument/2006/relationships/hyperlink" Target="mailto:rimaldonado@pkf.com.mx" TargetMode="External"/><Relationship Id="rId56" Type="http://schemas.openxmlformats.org/officeDocument/2006/relationships/hyperlink" Target="mailto:mmuniz@pkf.com.mx" TargetMode="External"/><Relationship Id="rId77" Type="http://schemas.openxmlformats.org/officeDocument/2006/relationships/hyperlink" Target="mailto:rimaldonado@pkf.com.mx" TargetMode="External"/><Relationship Id="rId100" Type="http://schemas.openxmlformats.org/officeDocument/2006/relationships/hyperlink" Target="mailto:lhernandez@pkf.com.mx" TargetMode="External"/><Relationship Id="rId8" Type="http://schemas.openxmlformats.org/officeDocument/2006/relationships/hyperlink" Target="mailto:jtrillo@pkf.com.mx" TargetMode="External"/><Relationship Id="rId51" Type="http://schemas.openxmlformats.org/officeDocument/2006/relationships/hyperlink" Target="mailto:gcontreras@pkf.com.mx" TargetMode="External"/><Relationship Id="rId72" Type="http://schemas.openxmlformats.org/officeDocument/2006/relationships/hyperlink" Target="mailto:omoreno@pkf.com.mx" TargetMode="External"/><Relationship Id="rId93" Type="http://schemas.openxmlformats.org/officeDocument/2006/relationships/hyperlink" Target="mailto:iuicab@pkf.com.mx" TargetMode="External"/><Relationship Id="rId98" Type="http://schemas.openxmlformats.org/officeDocument/2006/relationships/hyperlink" Target="mailto:adelgadillo@pkf.com.mx" TargetMode="External"/><Relationship Id="rId3" Type="http://schemas.openxmlformats.org/officeDocument/2006/relationships/hyperlink" Target="mailto:ggonzalez@pkf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C145-E7D7-4DA2-892B-C6D93A8D9841}">
  <dimension ref="A1:O59"/>
  <sheetViews>
    <sheetView tabSelected="1" workbookViewId="0">
      <selection activeCell="H2" sqref="H2"/>
    </sheetView>
  </sheetViews>
  <sheetFormatPr defaultRowHeight="15" x14ac:dyDescent="0.25"/>
  <cols>
    <col min="1" max="1" width="7.140625" style="1" bestFit="1" customWidth="1"/>
    <col min="2" max="2" width="8.42578125" bestFit="1" customWidth="1"/>
    <col min="3" max="3" width="9.5703125" bestFit="1" customWidth="1"/>
    <col min="4" max="4" width="44.5703125" bestFit="1" customWidth="1"/>
    <col min="5" max="5" width="19.5703125" bestFit="1" customWidth="1"/>
    <col min="6" max="6" width="15.140625" bestFit="1" customWidth="1"/>
    <col min="7" max="7" width="14.5703125" bestFit="1" customWidth="1"/>
    <col min="8" max="8" width="14.5703125" customWidth="1"/>
    <col min="9" max="9" width="16.85546875" bestFit="1" customWidth="1"/>
    <col min="10" max="10" width="9.42578125" bestFit="1" customWidth="1"/>
    <col min="11" max="11" width="13.28515625" customWidth="1"/>
    <col min="15" max="15" width="27.285156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2"/>
      <c r="O1" s="2"/>
    </row>
    <row r="2" spans="1:15" x14ac:dyDescent="0.25">
      <c r="A2" s="1">
        <v>1</v>
      </c>
      <c r="B2" s="3">
        <f>IF(tMS[[#This Row],[Codigo]] = "0", 0, MATCH(tMS[[#This Row],[Codigo]],[1]!EmpleadosPKF[Codigo],0))</f>
        <v>0</v>
      </c>
      <c r="C2" s="4" t="s">
        <v>11</v>
      </c>
      <c r="D2" t="s">
        <v>12</v>
      </c>
      <c r="E2" t="s">
        <v>13</v>
      </c>
      <c r="F2" t="s">
        <v>14</v>
      </c>
      <c r="H2" s="5" t="s">
        <v>15</v>
      </c>
      <c r="I2" t="s">
        <v>16</v>
      </c>
      <c r="J2" s="6"/>
      <c r="M2" s="2"/>
    </row>
    <row r="3" spans="1:15" x14ac:dyDescent="0.25">
      <c r="A3" s="1">
        <v>2</v>
      </c>
      <c r="B3" s="3">
        <f>IF(tMS[[#This Row],[Codigo]] = "0", 0, MATCH(tMS[[#This Row],[Codigo]],[1]!EmpleadosPKF[Codigo],0))</f>
        <v>94</v>
      </c>
      <c r="C3" s="7" t="s">
        <v>17</v>
      </c>
      <c r="D3" t="str" cm="1">
        <f t="array" ref="D3">PROPER(IFERROR(INDEX([1]!EmpleadosPKF[Colaborador],tMS[[#This Row],[Index]]), "No esta registrado"))</f>
        <v>Addi Neri Castillo Garcia</v>
      </c>
      <c r="E3" t="str" cm="1">
        <f t="array" ref="E3">IFERROR(INDEX([1]!EmpleadosPKF[Puesto],tMS[[#This Row],[Index]]),"")</f>
        <v>Encargado de Auditoria</v>
      </c>
      <c r="F3" t="str" cm="1">
        <f t="array" ref="F3">IFERROR(INDEX([1]!EmpleadosPKF[Departamento],tMS[[#This Row],[Index]]),"")</f>
        <v>Auditoria</v>
      </c>
      <c r="G3" s="8" t="s">
        <v>18</v>
      </c>
      <c r="H3" t="s">
        <v>19</v>
      </c>
      <c r="I3" s="8" t="s">
        <v>20</v>
      </c>
      <c r="J3" s="6"/>
      <c r="K3" t="s">
        <v>21</v>
      </c>
    </row>
    <row r="4" spans="1:15" x14ac:dyDescent="0.25">
      <c r="A4" s="1">
        <v>3</v>
      </c>
      <c r="B4" s="3">
        <f>IF(tMS[[#This Row],[Codigo]] = "0", 0, MATCH(tMS[[#This Row],[Codigo]],[1]!EmpleadosPKF[Codigo],0))</f>
        <v>22</v>
      </c>
      <c r="C4" s="4" t="s">
        <v>22</v>
      </c>
      <c r="D4" t="str" cm="1">
        <f t="array" ref="D4">PROPER(IFERROR(INDEX([1]!EmpleadosPKF[Colaborador],tMS[[#This Row],[Index]]), "No esta registrado"))</f>
        <v>Diana Laura Cobos Saucedo</v>
      </c>
      <c r="E4" t="str" cm="1">
        <f t="array" ref="E4">IFERROR(INDEX([1]!EmpleadosPKF[Puesto],tMS[[#This Row],[Index]]),"")</f>
        <v>Encargado de Auditoria</v>
      </c>
      <c r="F4" t="str" cm="1">
        <f t="array" ref="F4">IFERROR(INDEX([1]!EmpleadosPKF[Departamento],tMS[[#This Row],[Index]]),"")</f>
        <v>Auditoria</v>
      </c>
      <c r="G4" s="8" t="s">
        <v>15</v>
      </c>
      <c r="H4" s="8" t="s">
        <v>23</v>
      </c>
      <c r="I4" s="8" t="s">
        <v>24</v>
      </c>
      <c r="J4" s="6"/>
    </row>
    <row r="5" spans="1:15" x14ac:dyDescent="0.25">
      <c r="A5" s="1">
        <v>4</v>
      </c>
      <c r="B5" s="3">
        <f>IF(tMS[[#This Row],[Codigo]] = "0", 0, MATCH(tMS[[#This Row],[Codigo]],[1]!EmpleadosPKF[Codigo],0))</f>
        <v>91</v>
      </c>
      <c r="C5" s="4" t="s">
        <v>25</v>
      </c>
      <c r="D5" t="str" cm="1">
        <f t="array" ref="D5">PROPER(IFERROR(INDEX([1]!EmpleadosPKF[Colaborador],tMS[[#This Row],[Index]]), "No esta registrado"))</f>
        <v>Nidya Nayeli Porras Noriega</v>
      </c>
      <c r="E5" t="str" cm="1">
        <f t="array" ref="E5">IFERROR(INDEX([1]!EmpleadosPKF[Puesto],tMS[[#This Row],[Index]]),"")</f>
        <v>Abogado Sr</v>
      </c>
      <c r="F5" t="str" cm="1">
        <f t="array" ref="F5">IFERROR(INDEX([1]!EmpleadosPKF[Departamento],tMS[[#This Row],[Index]]),"")</f>
        <v>Legal</v>
      </c>
      <c r="G5" s="8" t="s">
        <v>15</v>
      </c>
      <c r="H5" s="8" t="s">
        <v>26</v>
      </c>
      <c r="I5" s="8" t="s">
        <v>27</v>
      </c>
      <c r="J5" s="6"/>
    </row>
    <row r="6" spans="1:15" x14ac:dyDescent="0.25">
      <c r="A6" s="1">
        <v>5</v>
      </c>
      <c r="B6" s="3">
        <f>IF(tMS[[#This Row],[Codigo]] = "0", 0, MATCH(tMS[[#This Row],[Codigo]],[1]!EmpleadosPKF[Codigo],0))</f>
        <v>90</v>
      </c>
      <c r="C6" s="4" t="s">
        <v>28</v>
      </c>
      <c r="D6" t="str" cm="1">
        <f t="array" ref="D6">PROPER(IFERROR(INDEX([1]!EmpleadosPKF[Colaborador],tMS[[#This Row],[Index]]), "No esta registrado"))</f>
        <v>Miriam Ivette Sanchez Silva</v>
      </c>
      <c r="E6" t="str" cm="1">
        <f t="array" ref="E6">IFERROR(INDEX([1]!EmpleadosPKF[Puesto],tMS[[#This Row],[Index]]),"")</f>
        <v>Acting Manager</v>
      </c>
      <c r="F6" t="str" cm="1">
        <f t="array" ref="F6">IFERROR(INDEX([1]!EmpleadosPKF[Departamento],tMS[[#This Row],[Index]]),"")</f>
        <v>Fiscal</v>
      </c>
      <c r="G6" s="8" t="s">
        <v>29</v>
      </c>
      <c r="H6" s="8" t="s">
        <v>30</v>
      </c>
      <c r="I6" t="s">
        <v>31</v>
      </c>
      <c r="J6" s="6"/>
    </row>
    <row r="7" spans="1:15" x14ac:dyDescent="0.25">
      <c r="A7" s="1">
        <v>6</v>
      </c>
      <c r="B7" s="3">
        <f>IF(tMS[[#This Row],[Codigo]] = "0", 0, MATCH(tMS[[#This Row],[Codigo]],[1]!EmpleadosPKF[Codigo],0))</f>
        <v>85</v>
      </c>
      <c r="C7" s="4" t="s">
        <v>32</v>
      </c>
      <c r="D7" t="str" cm="1">
        <f t="array" ref="D7">PROPER(IFERROR(INDEX([1]!EmpleadosPKF[Colaborador],tMS[[#This Row],[Index]]), "No esta registrado"))</f>
        <v>Ana Gabriela Gonzalez Montemayor</v>
      </c>
      <c r="E7" t="str" cm="1">
        <f t="array" ref="E7">IFERROR(INDEX([1]!EmpleadosPKF[Puesto],tMS[[#This Row],[Index]]),"")</f>
        <v>Gerente de desarrollo de Negocios</v>
      </c>
      <c r="F7" t="str" cm="1">
        <f t="array" ref="F7">IFERROR(INDEX([1]!EmpleadosPKF[Departamento],tMS[[#This Row],[Index]]),"")</f>
        <v>Administracion</v>
      </c>
      <c r="G7" s="8" t="s">
        <v>15</v>
      </c>
      <c r="H7" s="8" t="s">
        <v>33</v>
      </c>
      <c r="I7" t="s">
        <v>34</v>
      </c>
      <c r="J7" s="6"/>
    </row>
    <row r="8" spans="1:15" x14ac:dyDescent="0.25">
      <c r="A8" s="1">
        <v>7</v>
      </c>
      <c r="B8" s="3">
        <f>IF(tMS[[#This Row],[Codigo]] = "0", 0, MATCH(tMS[[#This Row],[Codigo]],[1]!EmpleadosPKF[Codigo],0))</f>
        <v>84</v>
      </c>
      <c r="C8" s="4" t="s">
        <v>35</v>
      </c>
      <c r="D8" t="str" cm="1">
        <f t="array" ref="D8">PROPER(IFERROR(INDEX([1]!EmpleadosPKF[Colaborador],tMS[[#This Row],[Index]]), "No esta registrado"))</f>
        <v>Laura Cecilia Garcia Niño</v>
      </c>
      <c r="E8" t="str" cm="1">
        <f t="array" ref="E8">IFERROR(INDEX([1]!EmpleadosPKF[Puesto],tMS[[#This Row],[Index]]),"")</f>
        <v>Contador General</v>
      </c>
      <c r="F8" t="str" cm="1">
        <f t="array" ref="F8">IFERROR(INDEX([1]!EmpleadosPKF[Departamento],tMS[[#This Row],[Index]]),"")</f>
        <v>Administracion</v>
      </c>
      <c r="G8" s="8" t="s">
        <v>36</v>
      </c>
      <c r="H8" s="5" t="s">
        <v>37</v>
      </c>
      <c r="I8" t="s">
        <v>38</v>
      </c>
      <c r="J8" s="6"/>
    </row>
    <row r="9" spans="1:15" x14ac:dyDescent="0.25">
      <c r="A9" s="1">
        <v>8</v>
      </c>
      <c r="B9" s="3">
        <f>IF(tMS[[#This Row],[Codigo]] = "0", 0, MATCH(tMS[[#This Row],[Codigo]],[1]!EmpleadosPKF[Codigo],0))</f>
        <v>63</v>
      </c>
      <c r="C9" s="4" t="s">
        <v>39</v>
      </c>
      <c r="D9" t="str" cm="1">
        <f t="array" ref="D9">PROPER(IFERROR(INDEX([1]!EmpleadosPKF[Colaborador],tMS[[#This Row],[Index]]), "No esta registrado"))</f>
        <v>Carlos Alberto Vidales Niño</v>
      </c>
      <c r="E9" t="str" cm="1">
        <f t="array" ref="E9">IFERROR(INDEX([1]!EmpleadosPKF[Puesto],tMS[[#This Row],[Index]]),"")</f>
        <v>Encargado de Auditoria</v>
      </c>
      <c r="F9" t="str" cm="1">
        <f t="array" ref="F9">IFERROR(INDEX([1]!EmpleadosPKF[Departamento],tMS[[#This Row],[Index]]),"")</f>
        <v>Auditoria</v>
      </c>
      <c r="G9" s="8" t="s">
        <v>18</v>
      </c>
      <c r="H9" t="s">
        <v>40</v>
      </c>
      <c r="I9" t="s">
        <v>41</v>
      </c>
      <c r="J9" s="6"/>
      <c r="K9" t="s">
        <v>21</v>
      </c>
    </row>
    <row r="10" spans="1:15" x14ac:dyDescent="0.25">
      <c r="A10" s="1">
        <v>9</v>
      </c>
      <c r="B10" s="3">
        <f>IF(tMS[[#This Row],[Codigo]] = "0", 0, MATCH(tMS[[#This Row],[Codigo]],[1]!EmpleadosPKF[Codigo],0))</f>
        <v>81</v>
      </c>
      <c r="C10" s="4" t="s">
        <v>42</v>
      </c>
      <c r="D10" t="str" cm="1">
        <f t="array" ref="D10">PROPER(IFERROR(INDEX([1]!EmpleadosPKF[Colaborador],tMS[[#This Row],[Index]]), "No esta registrado"))</f>
        <v>Georgina Martinez Sanchez</v>
      </c>
      <c r="E10" t="str" cm="1">
        <f t="array" ref="E10">IFERROR(INDEX([1]!EmpleadosPKF[Puesto],tMS[[#This Row],[Index]]),"")</f>
        <v>Abogado</v>
      </c>
      <c r="F10" t="str" cm="1">
        <f t="array" ref="F10">IFERROR(INDEX([1]!EmpleadosPKF[Departamento],tMS[[#This Row],[Index]]),"")</f>
        <v>Legal</v>
      </c>
      <c r="G10" s="8" t="s">
        <v>26</v>
      </c>
      <c r="H10" s="8" t="s">
        <v>43</v>
      </c>
      <c r="I10" t="s">
        <v>44</v>
      </c>
      <c r="J10" s="6" t="s">
        <v>45</v>
      </c>
      <c r="K10" t="s">
        <v>45</v>
      </c>
    </row>
    <row r="11" spans="1:15" x14ac:dyDescent="0.25">
      <c r="A11" s="1">
        <v>10</v>
      </c>
      <c r="B11" s="3">
        <f>IF(tMS[[#This Row],[Codigo]] = "0", 0, MATCH(tMS[[#This Row],[Codigo]],[1]!EmpleadosPKF[Codigo],0))</f>
        <v>80</v>
      </c>
      <c r="C11" s="4" t="s">
        <v>46</v>
      </c>
      <c r="D11" t="str" cm="1">
        <f t="array" ref="D11">PROPER(IFERROR(INDEX([1]!EmpleadosPKF[Colaborador],tMS[[#This Row],[Index]]), "No esta registrado"))</f>
        <v>Selenne Rubi Ceballos Vazquez</v>
      </c>
      <c r="E11" t="str" cm="1">
        <f t="array" ref="E11">IFERROR(INDEX([1]!EmpleadosPKF[Puesto],tMS[[#This Row],[Index]]),"")</f>
        <v>Coordinadora de calidad</v>
      </c>
      <c r="F11" t="str" cm="1">
        <f t="array" ref="F11">IFERROR(INDEX([1]!EmpleadosPKF[Departamento],tMS[[#This Row],[Index]]),"")</f>
        <v>Administracion</v>
      </c>
      <c r="G11" s="8" t="s">
        <v>15</v>
      </c>
      <c r="H11" t="s">
        <v>47</v>
      </c>
      <c r="I11" t="s">
        <v>48</v>
      </c>
      <c r="J11" s="6"/>
    </row>
    <row r="12" spans="1:15" x14ac:dyDescent="0.25">
      <c r="A12" s="1">
        <v>11</v>
      </c>
      <c r="B12" s="3">
        <f>IF(tMS[[#This Row],[Codigo]] = "0", 0, MATCH(tMS[[#This Row],[Codigo]],[1]!EmpleadosPKF[Codigo],0))</f>
        <v>79</v>
      </c>
      <c r="C12" s="4" t="s">
        <v>49</v>
      </c>
      <c r="D12" t="str" cm="1">
        <f t="array" ref="D12">PROPER(IFERROR(INDEX([1]!EmpleadosPKF[Colaborador],tMS[[#This Row],[Index]]), "No esta registrado"))</f>
        <v>Alejandro Zarate Ugalde</v>
      </c>
      <c r="E12" t="str" cm="1">
        <f t="array" ref="E12">IFERROR(INDEX([1]!EmpleadosPKF[Puesto],tMS[[#This Row],[Index]]),"")</f>
        <v>Gerente de Impuestos</v>
      </c>
      <c r="F12" t="str" cm="1">
        <f t="array" ref="F12">IFERROR(INDEX([1]!EmpleadosPKF[Departamento],tMS[[#This Row],[Index]]),"")</f>
        <v>Fiscal</v>
      </c>
      <c r="G12" s="8" t="s">
        <v>50</v>
      </c>
      <c r="H12" s="8" t="s">
        <v>29</v>
      </c>
      <c r="I12" t="s">
        <v>51</v>
      </c>
      <c r="J12" s="6"/>
    </row>
    <row r="13" spans="1:15" x14ac:dyDescent="0.25">
      <c r="A13" s="1">
        <v>12</v>
      </c>
      <c r="B13" s="3">
        <f>IF(tMS[[#This Row],[Codigo]] = "0", 0, MATCH(tMS[[#This Row],[Codigo]],[1]!EmpleadosPKF[Codigo],0))</f>
        <v>78</v>
      </c>
      <c r="C13" s="4" t="s">
        <v>52</v>
      </c>
      <c r="D13" t="str" cm="1">
        <f t="array" ref="D13">PROPER(IFERROR(INDEX([1]!EmpleadosPKF[Colaborador],tMS[[#This Row],[Index]]), "No esta registrado"))</f>
        <v>Jorge Enrique Martinez Montes De Oca</v>
      </c>
      <c r="E13" t="str" cm="1">
        <f t="array" ref="E13">IFERROR(INDEX([1]!EmpleadosPKF[Puesto],tMS[[#This Row],[Index]]),"")</f>
        <v>Gerente de Impuestos</v>
      </c>
      <c r="F13" t="str" cm="1">
        <f t="array" ref="F13">IFERROR(INDEX([1]!EmpleadosPKF[Departamento],tMS[[#This Row],[Index]]),"")</f>
        <v>Fiscal</v>
      </c>
      <c r="G13" s="8" t="s">
        <v>50</v>
      </c>
      <c r="H13" s="8" t="s">
        <v>53</v>
      </c>
      <c r="I13" t="s">
        <v>54</v>
      </c>
      <c r="J13" s="6"/>
    </row>
    <row r="14" spans="1:15" x14ac:dyDescent="0.25">
      <c r="A14" s="1">
        <v>13</v>
      </c>
      <c r="B14" s="3">
        <f>IF(tMS[[#This Row],[Codigo]] = "0", 0, MATCH(tMS[[#This Row],[Codigo]],[1]!EmpleadosPKF[Codigo],0))</f>
        <v>76</v>
      </c>
      <c r="C14" s="4" t="s">
        <v>55</v>
      </c>
      <c r="D14" t="str" cm="1">
        <f t="array" ref="D14">PROPER(IFERROR(INDEX([1]!EmpleadosPKF[Colaborador],tMS[[#This Row],[Index]]), "No esta registrado"))</f>
        <v>Diana America Marquez Escalona</v>
      </c>
      <c r="E14" t="str" cm="1">
        <f t="array" ref="E14">IFERROR(INDEX([1]!EmpleadosPKF[Puesto],tMS[[#This Row],[Index]]),"")</f>
        <v>Especialista de impuestos</v>
      </c>
      <c r="F14" t="str" cm="1">
        <f t="array" ref="F14">IFERROR(INDEX([1]!EmpleadosPKF[Departamento],tMS[[#This Row],[Index]]),"")</f>
        <v>Fiscal</v>
      </c>
      <c r="G14" s="8" t="s">
        <v>53</v>
      </c>
      <c r="H14" t="s">
        <v>56</v>
      </c>
      <c r="I14" t="s">
        <v>57</v>
      </c>
      <c r="J14" s="6"/>
    </row>
    <row r="15" spans="1:15" x14ac:dyDescent="0.25">
      <c r="A15" s="1">
        <v>14</v>
      </c>
      <c r="B15" s="3">
        <f>IF(tMS[[#This Row],[Codigo]] = "0", 0, MATCH(tMS[[#This Row],[Codigo]],[1]!EmpleadosPKF[Codigo],0))</f>
        <v>74</v>
      </c>
      <c r="C15" s="4" t="s">
        <v>58</v>
      </c>
      <c r="D15" t="str" cm="1">
        <f t="array" ref="D15">PROPER(IFERROR(INDEX([1]!EmpleadosPKF[Colaborador],tMS[[#This Row],[Index]]), "No esta registrado"))</f>
        <v>Gabriel Martinez Torres</v>
      </c>
      <c r="E15" t="str" cm="1">
        <f t="array" ref="E15">IFERROR(INDEX([1]!EmpleadosPKF[Puesto],tMS[[#This Row],[Index]]),"")</f>
        <v>Staff de auditoria</v>
      </c>
      <c r="F15" t="str" cm="1">
        <f t="array" ref="F15">IFERROR(INDEX([1]!EmpleadosPKF[Departamento],tMS[[#This Row],[Index]]),"")</f>
        <v>Auditoria</v>
      </c>
      <c r="G15" s="8" t="s">
        <v>18</v>
      </c>
      <c r="H15" t="s">
        <v>59</v>
      </c>
      <c r="I15" t="s">
        <v>60</v>
      </c>
      <c r="J15" s="6"/>
      <c r="K15" t="s">
        <v>21</v>
      </c>
    </row>
    <row r="16" spans="1:15" x14ac:dyDescent="0.25">
      <c r="A16" s="1">
        <v>15</v>
      </c>
      <c r="B16" s="3">
        <f>IF(tMS[[#This Row],[Codigo]] = "0", 0, MATCH(tMS[[#This Row],[Codigo]],[1]!EmpleadosPKF[Codigo],0))</f>
        <v>75</v>
      </c>
      <c r="C16" s="4" t="s">
        <v>61</v>
      </c>
      <c r="D16" t="str" cm="1">
        <f t="array" ref="D16">PROPER(IFERROR(INDEX([1]!EmpleadosPKF[Colaborador],tMS[[#This Row],[Index]]), "No esta registrado"))</f>
        <v>Daniela Fernanda Martinez Arratia</v>
      </c>
      <c r="E16" t="str" cm="1">
        <f t="array" ref="E16">IFERROR(INDEX([1]!EmpleadosPKF[Puesto],tMS[[#This Row],[Index]]),"")</f>
        <v>Staff de auditoria</v>
      </c>
      <c r="F16" t="str" cm="1">
        <f t="array" ref="F16">IFERROR(INDEX([1]!EmpleadosPKF[Departamento],tMS[[#This Row],[Index]]),"")</f>
        <v>Auditoria</v>
      </c>
      <c r="G16" s="8" t="s">
        <v>62</v>
      </c>
      <c r="H16" t="s">
        <v>63</v>
      </c>
      <c r="I16" t="s">
        <v>64</v>
      </c>
      <c r="J16" s="6"/>
      <c r="K16" t="s">
        <v>65</v>
      </c>
    </row>
    <row r="17" spans="1:11" x14ac:dyDescent="0.25">
      <c r="A17" s="1">
        <v>16</v>
      </c>
      <c r="B17" s="3">
        <f>IF(tMS[[#This Row],[Codigo]] = "0", 0, MATCH(tMS[[#This Row],[Codigo]],[1]!EmpleadosPKF[Codigo],0))</f>
        <v>73</v>
      </c>
      <c r="C17" s="4" t="s">
        <v>66</v>
      </c>
      <c r="D17" t="str" cm="1">
        <f t="array" ref="D17">PROPER(IFERROR(INDEX([1]!EmpleadosPKF[Colaborador],tMS[[#This Row],[Index]]), "No esta registrado"))</f>
        <v>Blanca Geraldo Geraldo</v>
      </c>
      <c r="E17" t="str" cm="1">
        <f t="array" ref="E17">IFERROR(INDEX([1]!EmpleadosPKF[Puesto],tMS[[#This Row],[Index]]),"")</f>
        <v>Especialista de impuestos</v>
      </c>
      <c r="F17" t="str" cm="1">
        <f t="array" ref="F17">IFERROR(INDEX([1]!EmpleadosPKF[Departamento],tMS[[#This Row],[Index]]),"")</f>
        <v>Fiscal</v>
      </c>
      <c r="G17" s="8" t="s">
        <v>53</v>
      </c>
      <c r="H17" t="s">
        <v>67</v>
      </c>
      <c r="I17" t="s">
        <v>68</v>
      </c>
      <c r="J17" s="6"/>
    </row>
    <row r="18" spans="1:11" x14ac:dyDescent="0.25">
      <c r="A18" s="1">
        <v>17</v>
      </c>
      <c r="B18" s="3">
        <f>IF(tMS[[#This Row],[Codigo]] = "0", 0, MATCH(tMS[[#This Row],[Codigo]],[1]!EmpleadosPKF[Codigo],0))</f>
        <v>72</v>
      </c>
      <c r="C18" s="4" t="s">
        <v>69</v>
      </c>
      <c r="D18" t="str" cm="1">
        <f t="array" ref="D18">PROPER(IFERROR(INDEX([1]!EmpleadosPKF[Colaborador],tMS[[#This Row],[Index]]), "No esta registrado"))</f>
        <v>Cesar Armando Duarte Cote</v>
      </c>
      <c r="E18" t="str" cm="1">
        <f t="array" ref="E18">IFERROR(INDEX([1]!EmpleadosPKF[Puesto],tMS[[#This Row],[Index]]),"")</f>
        <v>Asesor</v>
      </c>
      <c r="F18" t="str" cm="1">
        <f t="array" ref="F18">IFERROR(INDEX([1]!EmpleadosPKF[Departamento],tMS[[#This Row],[Index]]),"")</f>
        <v>Fiscal</v>
      </c>
      <c r="G18" s="8" t="s">
        <v>70</v>
      </c>
      <c r="H18" t="s">
        <v>71</v>
      </c>
      <c r="I18" t="s">
        <v>72</v>
      </c>
      <c r="J18" s="6"/>
    </row>
    <row r="19" spans="1:11" x14ac:dyDescent="0.25">
      <c r="A19" s="1">
        <v>18</v>
      </c>
      <c r="B19" s="3">
        <f>IF(tMS[[#This Row],[Codigo]] = "0", 0, MATCH(tMS[[#This Row],[Codigo]],[1]!EmpleadosPKF[Codigo],0))</f>
        <v>58</v>
      </c>
      <c r="C19" s="4" t="s">
        <v>73</v>
      </c>
      <c r="D19" t="str" cm="1">
        <f t="array" ref="D19">PROPER(IFERROR(INDEX([1]!EmpleadosPKF[Colaborador],tMS[[#This Row],[Index]]), "No esta registrado"))</f>
        <v>Gildardo De Jesus Contreras Del Rio</v>
      </c>
      <c r="E19" t="str" cm="1">
        <f t="array" ref="E19">IFERROR(INDEX([1]!EmpleadosPKF[Puesto],tMS[[#This Row],[Index]]),"")</f>
        <v>Gerente Sr Impuestos</v>
      </c>
      <c r="F19" t="str" cm="1">
        <f t="array" ref="F19">IFERROR(INDEX([1]!EmpleadosPKF[Departamento],tMS[[#This Row],[Index]]),"")</f>
        <v>Fiscal</v>
      </c>
      <c r="G19" s="8" t="s">
        <v>50</v>
      </c>
      <c r="H19" t="s">
        <v>70</v>
      </c>
      <c r="I19" t="s">
        <v>74</v>
      </c>
      <c r="J19" s="6"/>
    </row>
    <row r="20" spans="1:11" x14ac:dyDescent="0.25">
      <c r="A20" s="1">
        <v>19</v>
      </c>
      <c r="B20" s="3">
        <f>IF(tMS[[#This Row],[Codigo]] = "0", 0, MATCH(tMS[[#This Row],[Codigo]],[1]!EmpleadosPKF[Codigo],0))</f>
        <v>57</v>
      </c>
      <c r="C20" s="4" t="s">
        <v>75</v>
      </c>
      <c r="D20" t="str" cm="1">
        <f t="array" ref="D20">PROPER(IFERROR(INDEX([1]!EmpleadosPKF[Colaborador],tMS[[#This Row],[Index]]), "No esta registrado"))</f>
        <v>Nitzia Alejandra Alvarado Aguayo</v>
      </c>
      <c r="E20" t="str" cm="1">
        <f t="array" ref="E20">IFERROR(INDEX([1]!EmpleadosPKF[Puesto],tMS[[#This Row],[Index]]),"")</f>
        <v>Encargado de Auditoria</v>
      </c>
      <c r="F20" t="str" cm="1">
        <f t="array" ref="F20">IFERROR(INDEX([1]!EmpleadosPKF[Departamento],tMS[[#This Row],[Index]]),"")</f>
        <v>Auditoria</v>
      </c>
      <c r="G20" s="8" t="s">
        <v>62</v>
      </c>
      <c r="H20" t="s">
        <v>76</v>
      </c>
      <c r="I20" t="s">
        <v>77</v>
      </c>
      <c r="J20" s="6"/>
      <c r="K20" t="s">
        <v>65</v>
      </c>
    </row>
    <row r="21" spans="1:11" x14ac:dyDescent="0.25">
      <c r="A21" s="1">
        <v>20</v>
      </c>
      <c r="B21" s="3">
        <f>IF(tMS[[#This Row],[Codigo]] = "0", 0, MATCH(tMS[[#This Row],[Codigo]],[1]!EmpleadosPKF[Codigo],0))</f>
        <v>55</v>
      </c>
      <c r="C21" s="4" t="s">
        <v>78</v>
      </c>
      <c r="D21" t="str" cm="1">
        <f t="array" ref="D21">PROPER(IFERROR(INDEX([1]!EmpleadosPKF[Colaborador],tMS[[#This Row],[Index]]), "No esta registrado"))</f>
        <v>Ricardo Maldonado Adan</v>
      </c>
      <c r="E21" t="str" cm="1">
        <f t="array" ref="E21">IFERROR(INDEX([1]!EmpleadosPKF[Puesto],tMS[[#This Row],[Index]]),"")</f>
        <v>Gerente de Auditoria</v>
      </c>
      <c r="F21" t="str" cm="1">
        <f t="array" ref="F21">IFERROR(INDEX([1]!EmpleadosPKF[Departamento],tMS[[#This Row],[Index]]),"")</f>
        <v>Auditoria</v>
      </c>
      <c r="G21" s="8" t="s">
        <v>23</v>
      </c>
      <c r="H21" s="8" t="s">
        <v>62</v>
      </c>
      <c r="I21" t="s">
        <v>79</v>
      </c>
      <c r="J21" s="6"/>
    </row>
    <row r="22" spans="1:11" x14ac:dyDescent="0.25">
      <c r="A22" s="1">
        <v>21</v>
      </c>
      <c r="B22" s="3">
        <f>IF(tMS[[#This Row],[Codigo]] = "0", 0, MATCH(tMS[[#This Row],[Codigo]],[1]!EmpleadosPKF[Codigo],0))</f>
        <v>53</v>
      </c>
      <c r="C22" s="4" t="s">
        <v>80</v>
      </c>
      <c r="D22" t="str" cm="1">
        <f t="array" ref="D22">PROPER(IFERROR(INDEX([1]!EmpleadosPKF[Colaborador],tMS[[#This Row],[Index]]), "No esta registrado"))</f>
        <v>Silvia Patricia Garza Castro</v>
      </c>
      <c r="E22" t="str" cm="1">
        <f t="array" ref="E22">IFERROR(INDEX([1]!EmpleadosPKF[Puesto],tMS[[#This Row],[Index]]),"")</f>
        <v>Abogado Jr</v>
      </c>
      <c r="F22" t="str" cm="1">
        <f t="array" ref="F22">IFERROR(INDEX([1]!EmpleadosPKF[Departamento],tMS[[#This Row],[Index]]),"")</f>
        <v>Legal</v>
      </c>
      <c r="G22" s="8" t="s">
        <v>26</v>
      </c>
      <c r="H22" t="s">
        <v>81</v>
      </c>
      <c r="I22" s="9" t="s">
        <v>82</v>
      </c>
      <c r="J22" s="6"/>
    </row>
    <row r="23" spans="1:11" x14ac:dyDescent="0.25">
      <c r="A23" s="1">
        <v>22</v>
      </c>
      <c r="B23" s="3">
        <f>IF(tMS[[#This Row],[Codigo]] = "0", 0, MATCH(tMS[[#This Row],[Codigo]],[1]!EmpleadosPKF[Codigo],0))</f>
        <v>46</v>
      </c>
      <c r="C23" s="4" t="s">
        <v>83</v>
      </c>
      <c r="D23" t="str" cm="1">
        <f t="array" ref="D23">PROPER(IFERROR(INDEX([1]!EmpleadosPKF[Colaborador],tMS[[#This Row],[Index]]), "No esta registrado"))</f>
        <v>Ninfa Jazmin Torres Cortez</v>
      </c>
      <c r="E23" t="str" cm="1">
        <f t="array" ref="E23">IFERROR(INDEX([1]!EmpleadosPKF[Puesto],tMS[[#This Row],[Index]]),"")</f>
        <v>Asesor</v>
      </c>
      <c r="F23" t="str" cm="1">
        <f t="array" ref="F23">IFERROR(INDEX([1]!EmpleadosPKF[Departamento],tMS[[#This Row],[Index]]),"")</f>
        <v>Fiscal</v>
      </c>
      <c r="G23" s="8" t="s">
        <v>70</v>
      </c>
      <c r="H23" s="8" t="s">
        <v>84</v>
      </c>
      <c r="I23" s="9" t="s">
        <v>85</v>
      </c>
      <c r="J23" s="6"/>
    </row>
    <row r="24" spans="1:11" x14ac:dyDescent="0.25">
      <c r="A24" s="1">
        <v>23</v>
      </c>
      <c r="B24" s="3">
        <f>IF(tMS[[#This Row],[Codigo]] = "0", 0, MATCH(tMS[[#This Row],[Codigo]],[1]!EmpleadosPKF[Codigo],0))</f>
        <v>45</v>
      </c>
      <c r="C24" s="4" t="s">
        <v>86</v>
      </c>
      <c r="D24" t="str" cm="1">
        <f t="array" ref="D24">PROPER(IFERROR(INDEX([1]!EmpleadosPKF[Colaborador],tMS[[#This Row],[Index]]), "No esta registrado"))</f>
        <v>Rolando Garcia Ruiz</v>
      </c>
      <c r="E24" t="str" cm="1">
        <f t="array" ref="E24">IFERROR(INDEX([1]!EmpleadosPKF[Puesto],tMS[[#This Row],[Index]]),"")</f>
        <v>Encargado de Nominas</v>
      </c>
      <c r="F24" t="str" cm="1">
        <f t="array" ref="F24">IFERROR(INDEX([1]!EmpleadosPKF[Departamento],tMS[[#This Row],[Index]]),"")</f>
        <v>Fiscal</v>
      </c>
      <c r="G24" s="8" t="s">
        <v>87</v>
      </c>
      <c r="H24" s="8" t="s">
        <v>88</v>
      </c>
      <c r="I24" t="s">
        <v>89</v>
      </c>
      <c r="J24" s="6"/>
    </row>
    <row r="25" spans="1:11" x14ac:dyDescent="0.25">
      <c r="A25" s="1">
        <v>24</v>
      </c>
      <c r="B25" s="3">
        <f>IF(tMS[[#This Row],[Codigo]] = "0", 0, MATCH(tMS[[#This Row],[Codigo]],[1]!EmpleadosPKF[Codigo],0))</f>
        <v>42</v>
      </c>
      <c r="C25" s="4" t="s">
        <v>90</v>
      </c>
      <c r="D25" t="str" cm="1">
        <f t="array" ref="D25">PROPER(IFERROR(INDEX([1]!EmpleadosPKF[Colaborador],tMS[[#This Row],[Index]]), "No esta registrado"))</f>
        <v>Victor Ronaldiño Aguilar Moreno</v>
      </c>
      <c r="E25" t="str" cm="1">
        <f t="array" ref="E25">IFERROR(INDEX([1]!EmpleadosPKF[Puesto],tMS[[#This Row],[Index]]),"")</f>
        <v>Staff de Seguridad Social</v>
      </c>
      <c r="F25" t="str" cm="1">
        <f t="array" ref="F25">IFERROR(INDEX([1]!EmpleadosPKF[Departamento],tMS[[#This Row],[Index]]),"")</f>
        <v>Dictamen IMSS</v>
      </c>
      <c r="G25" s="8" t="s">
        <v>87</v>
      </c>
      <c r="H25" s="8" t="s">
        <v>91</v>
      </c>
      <c r="I25" t="s">
        <v>92</v>
      </c>
      <c r="J25" s="6"/>
    </row>
    <row r="26" spans="1:11" x14ac:dyDescent="0.25">
      <c r="A26" s="1">
        <v>25</v>
      </c>
      <c r="B26" s="3">
        <f>IF(tMS[[#This Row],[Codigo]] = "0", 0, MATCH(tMS[[#This Row],[Codigo]],[1]!EmpleadosPKF[Codigo],0))</f>
        <v>20</v>
      </c>
      <c r="C26" s="4" t="s">
        <v>93</v>
      </c>
      <c r="D26" t="str" cm="1">
        <f t="array" ref="D26">PROPER(IFERROR(INDEX([1]!EmpleadosPKF[Colaborador],tMS[[#This Row],[Index]]), "No esta registrado"))</f>
        <v>Daniela Mariely Garza Campos</v>
      </c>
      <c r="E26" t="str" cm="1">
        <f t="array" ref="E26">IFERROR(INDEX([1]!EmpleadosPKF[Puesto],tMS[[#This Row],[Index]]),"")</f>
        <v>Facturacion y Cobranza</v>
      </c>
      <c r="F26" t="str" cm="1">
        <f t="array" ref="F26">IFERROR(INDEX([1]!EmpleadosPKF[Departamento],tMS[[#This Row],[Index]]),"")</f>
        <v>Administracion</v>
      </c>
      <c r="G26" s="8" t="s">
        <v>36</v>
      </c>
      <c r="H26" t="s">
        <v>94</v>
      </c>
      <c r="I26" t="s">
        <v>95</v>
      </c>
      <c r="J26" s="6"/>
    </row>
    <row r="27" spans="1:11" x14ac:dyDescent="0.25">
      <c r="A27" s="1">
        <v>26</v>
      </c>
      <c r="B27" s="3">
        <f>IF(tMS[[#This Row],[Codigo]] = "0", 0, MATCH(tMS[[#This Row],[Codigo]],[1]!EmpleadosPKF[Codigo],0))</f>
        <v>12</v>
      </c>
      <c r="C27" s="4" t="s">
        <v>96</v>
      </c>
      <c r="D27" t="str" cm="1">
        <f t="array" ref="D27">PROPER(IFERROR(INDEX([1]!EmpleadosPKF[Colaborador],tMS[[#This Row],[Index]]), "No esta registrado"))</f>
        <v>Pablo Jahasiel Martinez Reyes</v>
      </c>
      <c r="E27" t="str" cm="1">
        <f t="array" ref="E27">IFERROR(INDEX([1]!EmpleadosPKF[Puesto],tMS[[#This Row],[Index]]),"")</f>
        <v>Encargado de Auditoria</v>
      </c>
      <c r="F27" t="str" cm="1">
        <f t="array" ref="F27">IFERROR(INDEX([1]!EmpleadosPKF[Departamento],tMS[[#This Row],[Index]]),"")</f>
        <v>Auditoria</v>
      </c>
      <c r="G27" s="8" t="s">
        <v>62</v>
      </c>
      <c r="H27" s="8" t="s">
        <v>97</v>
      </c>
      <c r="I27" t="s">
        <v>98</v>
      </c>
      <c r="J27" s="6"/>
      <c r="K27" t="s">
        <v>65</v>
      </c>
    </row>
    <row r="28" spans="1:11" x14ac:dyDescent="0.25">
      <c r="A28" s="1">
        <v>27</v>
      </c>
      <c r="B28" s="3">
        <f>IF(tMS[[#This Row],[Codigo]] = "0", 0, MATCH(tMS[[#This Row],[Codigo]],[1]!EmpleadosPKF[Codigo],0))</f>
        <v>36</v>
      </c>
      <c r="C28" s="4" t="s">
        <v>99</v>
      </c>
      <c r="D28" t="str" cm="1">
        <f t="array" ref="D28">PROPER(IFERROR(INDEX([1]!EmpleadosPKF[Colaborador],tMS[[#This Row],[Index]]), "No esta registrado"))</f>
        <v>Carlos Enrique Cuellar Aldaco</v>
      </c>
      <c r="E28" t="str" cm="1">
        <f t="array" ref="E28">IFERROR(INDEX([1]!EmpleadosPKF[Puesto],tMS[[#This Row],[Index]]),"")</f>
        <v>Abogado Fiscalista</v>
      </c>
      <c r="F28" t="str" cm="1">
        <f t="array" ref="F28">IFERROR(INDEX([1]!EmpleadosPKF[Departamento],tMS[[#This Row],[Index]]),"")</f>
        <v>Legal</v>
      </c>
      <c r="G28" s="8" t="s">
        <v>26</v>
      </c>
      <c r="H28" t="s">
        <v>100</v>
      </c>
      <c r="I28" t="s">
        <v>101</v>
      </c>
      <c r="J28" s="6"/>
    </row>
    <row r="29" spans="1:11" x14ac:dyDescent="0.25">
      <c r="A29" s="1">
        <v>28</v>
      </c>
      <c r="B29" s="3">
        <f>IF(tMS[[#This Row],[Codigo]] = "0", 0, MATCH(tMS[[#This Row],[Codigo]],[1]!EmpleadosPKF[Codigo],0))</f>
        <v>35</v>
      </c>
      <c r="C29" s="4" t="s">
        <v>102</v>
      </c>
      <c r="D29" t="str" cm="1">
        <f t="array" ref="D29">PROPER(IFERROR(INDEX([1]!EmpleadosPKF[Colaborador],tMS[[#This Row],[Index]]), "No esta registrado"))</f>
        <v>Javier Adrian Puente Cantu</v>
      </c>
      <c r="E29" t="str" cm="1">
        <f t="array" ref="E29">IFERROR(INDEX([1]!EmpleadosPKF[Puesto],tMS[[#This Row],[Index]]),"")</f>
        <v>Gerente de Impuestos</v>
      </c>
      <c r="F29" t="str" cm="1">
        <f t="array" ref="F29">IFERROR(INDEX([1]!EmpleadosPKF[Departamento],tMS[[#This Row],[Index]]),"")</f>
        <v>Fiscal</v>
      </c>
      <c r="G29" s="8" t="s">
        <v>70</v>
      </c>
      <c r="H29" t="s">
        <v>103</v>
      </c>
      <c r="I29" t="s">
        <v>104</v>
      </c>
      <c r="J29" s="6"/>
    </row>
    <row r="30" spans="1:11" x14ac:dyDescent="0.25">
      <c r="A30" s="1">
        <v>29</v>
      </c>
      <c r="B30" s="3">
        <f>IF(tMS[[#This Row],[Codigo]] = "0", 0, MATCH(tMS[[#This Row],[Codigo]],[1]!EmpleadosPKF[Codigo],0))</f>
        <v>64</v>
      </c>
      <c r="C30" s="4" t="s">
        <v>105</v>
      </c>
      <c r="D30" t="str" cm="1">
        <f t="array" ref="D30">PROPER(IFERROR(INDEX([1]!EmpleadosPKF[Colaborador],tMS[[#This Row],[Index]]), "No esta registrado"))</f>
        <v>Mariana Del Carmen Vargas Villalobos</v>
      </c>
      <c r="E30" t="str" cm="1">
        <f t="array" ref="E30">IFERROR(INDEX([1]!EmpleadosPKF[Puesto],tMS[[#This Row],[Index]]),"")</f>
        <v>Asesor</v>
      </c>
      <c r="F30" t="str" cm="1">
        <f t="array" ref="F30">IFERROR(INDEX([1]!EmpleadosPKF[Departamento],tMS[[#This Row],[Index]]),"")</f>
        <v>Fiscal</v>
      </c>
      <c r="G30" s="8" t="s">
        <v>15</v>
      </c>
      <c r="H30" t="s">
        <v>106</v>
      </c>
      <c r="I30" s="9" t="s">
        <v>107</v>
      </c>
      <c r="J30" s="6"/>
    </row>
    <row r="31" spans="1:11" x14ac:dyDescent="0.25">
      <c r="A31" s="1">
        <v>30</v>
      </c>
      <c r="B31" s="3">
        <f>IF(tMS[[#This Row],[Codigo]] = "0", 0, MATCH(tMS[[#This Row],[Codigo]],[1]!EmpleadosPKF[Codigo],0))</f>
        <v>33</v>
      </c>
      <c r="C31" s="4" t="s">
        <v>108</v>
      </c>
      <c r="D31" t="str" cm="1">
        <f t="array" ref="D31">PROPER(IFERROR(INDEX([1]!EmpleadosPKF[Colaborador],tMS[[#This Row],[Index]]), "No esta registrado"))</f>
        <v>Julio Cesar Fernandez Ortiz</v>
      </c>
      <c r="E31" t="str" cm="1">
        <f t="array" ref="E31">IFERROR(INDEX([1]!EmpleadosPKF[Puesto],tMS[[#This Row],[Index]]),"")</f>
        <v>Gerente de Auditoria</v>
      </c>
      <c r="F31" t="str" cm="1">
        <f t="array" ref="F31">IFERROR(INDEX([1]!EmpleadosPKF[Departamento],tMS[[#This Row],[Index]]),"")</f>
        <v>Auditoria</v>
      </c>
      <c r="G31" s="8" t="s">
        <v>23</v>
      </c>
      <c r="H31" s="8" t="s">
        <v>18</v>
      </c>
      <c r="I31" t="s">
        <v>109</v>
      </c>
      <c r="J31" s="6"/>
    </row>
    <row r="32" spans="1:11" x14ac:dyDescent="0.25">
      <c r="A32" s="1">
        <v>31</v>
      </c>
      <c r="B32" s="3">
        <f>IF(tMS[[#This Row],[Codigo]] = "0", 0, MATCH(tMS[[#This Row],[Codigo]],[1]!EmpleadosPKF[Codigo],0))</f>
        <v>32</v>
      </c>
      <c r="C32" s="4" t="s">
        <v>110</v>
      </c>
      <c r="D32" t="str" cm="1">
        <f t="array" ref="D32">PROPER(IFERROR(INDEX([1]!EmpleadosPKF[Colaborador],tMS[[#This Row],[Index]]), "No esta registrado"))</f>
        <v>Edgar Jair Nuñez De Leon</v>
      </c>
      <c r="E32" t="str" cm="1">
        <f t="array" ref="E32">IFERROR(INDEX([1]!EmpleadosPKF[Puesto],tMS[[#This Row],[Index]]),"")</f>
        <v>Contador Fiscalista</v>
      </c>
      <c r="F32" t="str" cm="1">
        <f t="array" ref="F32">IFERROR(INDEX([1]!EmpleadosPKF[Departamento],tMS[[#This Row],[Index]]),"")</f>
        <v>Fiscal</v>
      </c>
      <c r="G32" s="8" t="s">
        <v>29</v>
      </c>
      <c r="H32" s="8" t="s">
        <v>111</v>
      </c>
      <c r="I32" t="s">
        <v>112</v>
      </c>
      <c r="J32" s="6"/>
    </row>
    <row r="33" spans="1:11" x14ac:dyDescent="0.25">
      <c r="A33" s="1">
        <v>32</v>
      </c>
      <c r="B33" s="3">
        <f>IF(tMS[[#This Row],[Codigo]] = "0", 0, MATCH(tMS[[#This Row],[Codigo]],[1]!EmpleadosPKF[Codigo],0))</f>
        <v>29</v>
      </c>
      <c r="C33" s="4" t="s">
        <v>113</v>
      </c>
      <c r="D33" t="str" cm="1">
        <f t="array" ref="D33">PROPER(IFERROR(INDEX([1]!EmpleadosPKF[Colaborador],tMS[[#This Row],[Index]]), "No esta registrado"))</f>
        <v>Jose David Alejandro Esparza Lopez</v>
      </c>
      <c r="E33" t="str" cm="1">
        <f t="array" ref="E33">IFERROR(INDEX([1]!EmpleadosPKF[Puesto],tMS[[#This Row],[Index]]),"")</f>
        <v>Asesor</v>
      </c>
      <c r="F33" t="str" cm="1">
        <f t="array" ref="F33">IFERROR(INDEX([1]!EmpleadosPKF[Departamento],tMS[[#This Row],[Index]]),"")</f>
        <v>Fiscal</v>
      </c>
      <c r="G33" s="8" t="s">
        <v>70</v>
      </c>
      <c r="H33" t="s">
        <v>114</v>
      </c>
      <c r="I33" t="s">
        <v>115</v>
      </c>
      <c r="J33" s="6"/>
    </row>
    <row r="34" spans="1:11" x14ac:dyDescent="0.25">
      <c r="A34" s="1">
        <v>33</v>
      </c>
      <c r="B34" s="3">
        <f>IF(tMS[[#This Row],[Codigo]] = "0", 0, MATCH(tMS[[#This Row],[Codigo]],[1]!EmpleadosPKF[Codigo],0))</f>
        <v>27</v>
      </c>
      <c r="C34" s="4" t="s">
        <v>116</v>
      </c>
      <c r="D34" t="str" cm="1">
        <f t="array" ref="D34">PROPER(IFERROR(INDEX([1]!EmpleadosPKF[Colaborador],tMS[[#This Row],[Index]]), "No esta registrado"))</f>
        <v>Frida Sofia Espinosa Montoya</v>
      </c>
      <c r="E34" t="str" cm="1">
        <f t="array" ref="E34">IFERROR(INDEX([1]!EmpleadosPKF[Puesto],tMS[[#This Row],[Index]]),"")</f>
        <v>Staff de auditoria</v>
      </c>
      <c r="F34" t="str" cm="1">
        <f t="array" ref="F34">IFERROR(INDEX([1]!EmpleadosPKF[Departamento],tMS[[#This Row],[Index]]),"")</f>
        <v>Auditoria</v>
      </c>
      <c r="G34" s="8" t="s">
        <v>18</v>
      </c>
      <c r="H34" s="8" t="s">
        <v>117</v>
      </c>
      <c r="I34" t="s">
        <v>118</v>
      </c>
      <c r="J34" s="6"/>
    </row>
    <row r="35" spans="1:11" x14ac:dyDescent="0.25">
      <c r="A35" s="1">
        <v>34</v>
      </c>
      <c r="B35" s="3">
        <f>IF(tMS[[#This Row],[Codigo]] = "0", 0, MATCH(tMS[[#This Row],[Codigo]],[1]!EmpleadosPKF[Codigo],0))</f>
        <v>25</v>
      </c>
      <c r="C35" s="4" t="s">
        <v>119</v>
      </c>
      <c r="D35" t="str" cm="1">
        <f t="array" ref="D35">PROPER(IFERROR(INDEX([1]!EmpleadosPKF[Colaborador],tMS[[#This Row],[Index]]), "No esta registrado"))</f>
        <v>Oliverio Moreno Hernandez</v>
      </c>
      <c r="E35" t="str" cm="1">
        <f t="array" ref="E35">IFERROR(INDEX([1]!EmpleadosPKF[Puesto],tMS[[#This Row],[Index]]),"")</f>
        <v>Staff de auditoria</v>
      </c>
      <c r="F35" t="str" cm="1">
        <f t="array" ref="F35">IFERROR(INDEX([1]!EmpleadosPKF[Departamento],tMS[[#This Row],[Index]]),"")</f>
        <v>Auditoria</v>
      </c>
      <c r="G35" s="8" t="s">
        <v>62</v>
      </c>
      <c r="H35" s="8" t="s">
        <v>120</v>
      </c>
      <c r="I35" s="9" t="s">
        <v>121</v>
      </c>
      <c r="J35" s="6"/>
      <c r="K35" t="s">
        <v>21</v>
      </c>
    </row>
    <row r="36" spans="1:11" x14ac:dyDescent="0.25">
      <c r="A36" s="1">
        <v>35</v>
      </c>
      <c r="B36" s="3">
        <f>IF(tMS[[#This Row],[Codigo]] = "0", 0, MATCH(tMS[[#This Row],[Codigo]],[1]!EmpleadosPKF[Codigo],0))</f>
        <v>24</v>
      </c>
      <c r="C36" s="4" t="s">
        <v>122</v>
      </c>
      <c r="D36" t="str" cm="1">
        <f t="array" ref="D36">PROPER(IFERROR(INDEX([1]!EmpleadosPKF[Colaborador],tMS[[#This Row],[Index]]), "No esta registrado"))</f>
        <v>Servando Ramirez Saucedo</v>
      </c>
      <c r="E36" t="str" cm="1">
        <f t="array" ref="E36">IFERROR(INDEX([1]!EmpleadosPKF[Puesto],tMS[[#This Row],[Index]]),"")</f>
        <v>Gerente de Seguridad Social</v>
      </c>
      <c r="F36" t="str" cm="1">
        <f t="array" ref="F36">IFERROR(INDEX([1]!EmpleadosPKF[Departamento],tMS[[#This Row],[Index]]),"")</f>
        <v>Dictamen IMSS</v>
      </c>
      <c r="G36" s="8" t="s">
        <v>15</v>
      </c>
      <c r="H36" t="s">
        <v>87</v>
      </c>
      <c r="I36" t="s">
        <v>123</v>
      </c>
      <c r="J36" s="6"/>
      <c r="K36" t="s">
        <v>65</v>
      </c>
    </row>
    <row r="37" spans="1:11" x14ac:dyDescent="0.25">
      <c r="A37" s="1">
        <v>36</v>
      </c>
      <c r="B37" s="3">
        <f>IF(tMS[[#This Row],[Codigo]] = "0", 0, MATCH(tMS[[#This Row],[Codigo]],[1]!EmpleadosPKF[Codigo],0))</f>
        <v>23</v>
      </c>
      <c r="C37" s="4" t="s">
        <v>124</v>
      </c>
      <c r="D37" t="str" cm="1">
        <f t="array" ref="D37">PROPER(IFERROR(INDEX([1]!EmpleadosPKF[Colaborador],tMS[[#This Row],[Index]]), "No esta registrado"))</f>
        <v>Elizabeth Bautista Hernandez</v>
      </c>
      <c r="E37" t="str" cm="1">
        <f t="array" ref="E37">IFERROR(INDEX([1]!EmpleadosPKF[Puesto],tMS[[#This Row],[Index]]),"")</f>
        <v>Staff de auditoria</v>
      </c>
      <c r="F37" t="str" cm="1">
        <f t="array" ref="F37">IFERROR(INDEX([1]!EmpleadosPKF[Departamento],tMS[[#This Row],[Index]]),"")</f>
        <v>Auditoria</v>
      </c>
      <c r="G37" s="8" t="s">
        <v>18</v>
      </c>
      <c r="H37" t="s">
        <v>125</v>
      </c>
      <c r="I37" t="s">
        <v>126</v>
      </c>
      <c r="J37" s="6"/>
    </row>
    <row r="38" spans="1:11" x14ac:dyDescent="0.25">
      <c r="A38" s="1">
        <v>37</v>
      </c>
      <c r="B38" s="3">
        <f>IF(tMS[[#This Row],[Codigo]] = "0", 0, MATCH(tMS[[#This Row],[Codigo]],[1]!EmpleadosPKF[Codigo],0))</f>
        <v>22</v>
      </c>
      <c r="C38" s="4" t="s">
        <v>22</v>
      </c>
      <c r="D38" t="str" cm="1">
        <f t="array" ref="D38">PROPER(IFERROR(INDEX([1]!EmpleadosPKF[Colaborador],tMS[[#This Row],[Index]]), "No esta registrado"))</f>
        <v>Diana Laura Cobos Saucedo</v>
      </c>
      <c r="E38" t="str" cm="1">
        <f t="array" ref="E38">IFERROR(INDEX([1]!EmpleadosPKF[Puesto],tMS[[#This Row],[Index]]),"")</f>
        <v>Encargado de Auditoria</v>
      </c>
      <c r="F38" t="str" cm="1">
        <f t="array" ref="F38">IFERROR(INDEX([1]!EmpleadosPKF[Departamento],tMS[[#This Row],[Index]]),"")</f>
        <v>Auditoria</v>
      </c>
      <c r="G38" s="8" t="s">
        <v>18</v>
      </c>
      <c r="H38" s="8" t="s">
        <v>127</v>
      </c>
      <c r="I38" t="s">
        <v>128</v>
      </c>
      <c r="J38" s="6"/>
      <c r="K38" t="s">
        <v>21</v>
      </c>
    </row>
    <row r="39" spans="1:11" x14ac:dyDescent="0.25">
      <c r="A39" s="1">
        <v>38</v>
      </c>
      <c r="B39" s="3">
        <f>IF(tMS[[#This Row],[Codigo]] = "0", 0, MATCH(tMS[[#This Row],[Codigo]],[1]!EmpleadosPKF[Codigo],0))</f>
        <v>20</v>
      </c>
      <c r="C39" s="4" t="s">
        <v>93</v>
      </c>
      <c r="D39" t="s">
        <v>129</v>
      </c>
      <c r="E39" t="str" cm="1">
        <f t="array" ref="E39">IFERROR(INDEX([1]!EmpleadosPKF[Puesto],tMS[[#This Row],[Index]]),"")</f>
        <v>Facturacion y Cobranza</v>
      </c>
      <c r="F39" t="str" cm="1">
        <f t="array" ref="F39">IFERROR(INDEX([1]!EmpleadosPKF[Departamento],tMS[[#This Row],[Index]]),"")</f>
        <v>Administracion</v>
      </c>
      <c r="G39" s="8" t="s">
        <v>15</v>
      </c>
      <c r="H39" s="8" t="s">
        <v>130</v>
      </c>
      <c r="I39" s="9" t="s">
        <v>131</v>
      </c>
      <c r="J39" s="6" t="s">
        <v>45</v>
      </c>
      <c r="K39" t="s">
        <v>21</v>
      </c>
    </row>
    <row r="40" spans="1:11" x14ac:dyDescent="0.25">
      <c r="A40" s="1">
        <v>39</v>
      </c>
      <c r="B40" s="3">
        <f>IF(tMS[[#This Row],[Codigo]] = "0", 0, MATCH(tMS[[#This Row],[Codigo]],[1]!EmpleadosPKF[Codigo],0))</f>
        <v>21</v>
      </c>
      <c r="C40" s="4" t="s">
        <v>132</v>
      </c>
      <c r="D40" t="str" cm="1">
        <f t="array" ref="D40">PROPER(IFERROR(INDEX([1]!EmpleadosPKF[Colaborador],tMS[[#This Row],[Index]]), "No esta registrado"))</f>
        <v>Juan Antonio Garcia Sanchez</v>
      </c>
      <c r="E40" t="str" cm="1">
        <f t="array" ref="E40">IFERROR(INDEX([1]!EmpleadosPKF[Puesto],tMS[[#This Row],[Index]]),"")</f>
        <v>Socio de Fiscal</v>
      </c>
      <c r="F40" t="str" cm="1">
        <f t="array" ref="F40">IFERROR(INDEX([1]!EmpleadosPKF[Departamento],tMS[[#This Row],[Index]]),"")</f>
        <v>Fiscal</v>
      </c>
      <c r="G40" s="8" t="s">
        <v>15</v>
      </c>
      <c r="H40" t="s">
        <v>50</v>
      </c>
      <c r="I40" t="s">
        <v>133</v>
      </c>
      <c r="J40" s="6"/>
    </row>
    <row r="41" spans="1:11" x14ac:dyDescent="0.25">
      <c r="A41" s="1">
        <v>40</v>
      </c>
      <c r="B41" s="3">
        <f>IF(tMS[[#This Row],[Codigo]] = "0", 0, MATCH(tMS[[#This Row],[Codigo]],[1]!EmpleadosPKF[Codigo],0))</f>
        <v>19</v>
      </c>
      <c r="C41" s="4" t="s">
        <v>134</v>
      </c>
      <c r="D41" t="str" cm="1">
        <f t="array" ref="D41">PROPER(IFERROR(INDEX([1]!EmpleadosPKF[Colaborador],tMS[[#This Row],[Index]]), "No esta registrado"))</f>
        <v>Oziel Eduardo Herrera Fuentes</v>
      </c>
      <c r="E41" t="str" cm="1">
        <f t="array" ref="E41">IFERROR(INDEX([1]!EmpleadosPKF[Puesto],tMS[[#This Row],[Index]]),"")</f>
        <v>Asesor</v>
      </c>
      <c r="F41" t="str" cm="1">
        <f t="array" ref="F41">IFERROR(INDEX([1]!EmpleadosPKF[Departamento],tMS[[#This Row],[Index]]),"")</f>
        <v>Fiscal</v>
      </c>
      <c r="G41" s="8" t="s">
        <v>70</v>
      </c>
      <c r="H41" t="s">
        <v>135</v>
      </c>
      <c r="I41" t="s">
        <v>136</v>
      </c>
      <c r="J41" s="6"/>
    </row>
    <row r="42" spans="1:11" x14ac:dyDescent="0.25">
      <c r="A42" s="1">
        <v>41</v>
      </c>
      <c r="B42" s="3">
        <f>IF(tMS[[#This Row],[Codigo]] = "0", 0, MATCH(tMS[[#This Row],[Codigo]],[1]!EmpleadosPKF[Codigo],0))</f>
        <v>18</v>
      </c>
      <c r="C42" s="4" t="s">
        <v>137</v>
      </c>
      <c r="D42" t="str" cm="1">
        <f t="array" ref="D42">PROPER(IFERROR(INDEX([1]!EmpleadosPKF[Colaborador],tMS[[#This Row],[Index]]), "No esta registrado"))</f>
        <v>Miguel Angel Palacios Briseño</v>
      </c>
      <c r="E42" t="str" cm="1">
        <f t="array" ref="E42">IFERROR(INDEX([1]!EmpleadosPKF[Puesto],tMS[[#This Row],[Index]]),"")</f>
        <v>Staff de contabilidad</v>
      </c>
      <c r="F42" t="str" cm="1">
        <f t="array" ref="F42">IFERROR(INDEX([1]!EmpleadosPKF[Departamento],tMS[[#This Row],[Index]]),"")</f>
        <v>Fiscal</v>
      </c>
      <c r="G42" s="8" t="s">
        <v>70</v>
      </c>
      <c r="H42" t="s">
        <v>138</v>
      </c>
      <c r="I42" t="s">
        <v>139</v>
      </c>
      <c r="J42" s="6"/>
    </row>
    <row r="43" spans="1:11" x14ac:dyDescent="0.25">
      <c r="A43" s="1">
        <v>42</v>
      </c>
      <c r="B43" s="3">
        <f>IF(tMS[[#This Row],[Codigo]] = "0", 0, MATCH(tMS[[#This Row],[Codigo]],[1]!EmpleadosPKF[Codigo],0))</f>
        <v>17</v>
      </c>
      <c r="C43" s="4" t="s">
        <v>140</v>
      </c>
      <c r="D43" t="str" cm="1">
        <f t="array" ref="D43">PROPER(IFERROR(INDEX([1]!EmpleadosPKF[Colaborador],tMS[[#This Row],[Index]]), "No esta registrado"))</f>
        <v>Jahaira Elizabeth Guerrero Rivera</v>
      </c>
      <c r="E43" t="str" cm="1">
        <f t="array" ref="E43">IFERROR(INDEX([1]!EmpleadosPKF[Puesto],tMS[[#This Row],[Index]]),"")</f>
        <v>Encargada de auditoria Sr</v>
      </c>
      <c r="F43" t="str" cm="1">
        <f t="array" ref="F43">IFERROR(INDEX([1]!EmpleadosPKF[Departamento],tMS[[#This Row],[Index]]),"")</f>
        <v>Auditoria</v>
      </c>
      <c r="G43" s="8" t="s">
        <v>18</v>
      </c>
      <c r="H43" t="s">
        <v>141</v>
      </c>
      <c r="I43" s="9" t="s">
        <v>142</v>
      </c>
      <c r="J43" s="6"/>
    </row>
    <row r="44" spans="1:11" x14ac:dyDescent="0.25">
      <c r="A44" s="1">
        <v>43</v>
      </c>
      <c r="B44" s="3">
        <f>IF(tMS[[#This Row],[Codigo]] = "0", 0, MATCH(tMS[[#This Row],[Codigo]],[1]!EmpleadosPKF[Codigo],0))</f>
        <v>16</v>
      </c>
      <c r="C44" s="4" t="s">
        <v>143</v>
      </c>
      <c r="D44" t="str" cm="1">
        <f t="array" ref="D44">PROPER(IFERROR(INDEX([1]!EmpleadosPKF[Colaborador],tMS[[#This Row],[Index]]), "No esta registrado"))</f>
        <v>Edgar Eduardo Valli Muñoz</v>
      </c>
      <c r="E44" t="str" cm="1">
        <f t="array" ref="E44">IFERROR(INDEX([1]!EmpleadosPKF[Puesto],tMS[[#This Row],[Index]]),"")</f>
        <v>Gerente de TI</v>
      </c>
      <c r="F44" t="str" cm="1">
        <f t="array" ref="F44">IFERROR(INDEX([1]!EmpleadosPKF[Departamento],tMS[[#This Row],[Index]]),"")</f>
        <v>Administracion</v>
      </c>
      <c r="G44" s="8" t="s">
        <v>15</v>
      </c>
      <c r="H44" t="s">
        <v>144</v>
      </c>
      <c r="I44" t="s">
        <v>145</v>
      </c>
      <c r="J44" s="6"/>
      <c r="K44" t="s">
        <v>21</v>
      </c>
    </row>
    <row r="45" spans="1:11" x14ac:dyDescent="0.25">
      <c r="A45" s="1">
        <v>44</v>
      </c>
      <c r="B45" s="3">
        <f>IF(tMS[[#This Row],[Codigo]] = "0", 0, MATCH(tMS[[#This Row],[Codigo]],[1]!EmpleadosPKF[Codigo],0))</f>
        <v>15</v>
      </c>
      <c r="C45" s="4" t="s">
        <v>146</v>
      </c>
      <c r="D45" t="str" cm="1">
        <f t="array" ref="D45">PROPER(IFERROR(INDEX([1]!EmpleadosPKF[Colaborador],tMS[[#This Row],[Index]]), "No esta registrado"))</f>
        <v>Juan Carlos Martinez Sauceda</v>
      </c>
      <c r="E45" t="str" cm="1">
        <f t="array" ref="E45">IFERROR(INDEX([1]!EmpleadosPKF[Puesto],tMS[[#This Row],[Index]]),"")</f>
        <v>Gerente de Impuestos</v>
      </c>
      <c r="F45" t="str" cm="1">
        <f t="array" ref="F45">IFERROR(INDEX([1]!EmpleadosPKF[Departamento],tMS[[#This Row],[Index]]),"")</f>
        <v>Fiscal</v>
      </c>
      <c r="G45" s="8" t="s">
        <v>29</v>
      </c>
      <c r="H45" s="8" t="s">
        <v>147</v>
      </c>
      <c r="I45" t="s">
        <v>148</v>
      </c>
      <c r="J45" s="6" t="s">
        <v>45</v>
      </c>
    </row>
    <row r="46" spans="1:11" x14ac:dyDescent="0.25">
      <c r="A46" s="1">
        <v>45</v>
      </c>
      <c r="B46" s="3">
        <f>IF(tMS[[#This Row],[Codigo]] = "0", 0, MATCH(tMS[[#This Row],[Codigo]],[1]!EmpleadosPKF[Codigo],0))</f>
        <v>13</v>
      </c>
      <c r="C46" s="4" t="s">
        <v>149</v>
      </c>
      <c r="D46" t="str" cm="1">
        <f t="array" ref="D46">PROPER(IFERROR(INDEX([1]!EmpleadosPKF[Colaborador],tMS[[#This Row],[Index]]), "No esta registrado"))</f>
        <v>Miguel Angel Rosales Ramos</v>
      </c>
      <c r="E46" t="str" cm="1">
        <f t="array" ref="E46">IFERROR(INDEX([1]!EmpleadosPKF[Puesto],tMS[[#This Row],[Index]]),"")</f>
        <v>Acting Manager</v>
      </c>
      <c r="F46" t="str" cm="1">
        <f t="array" ref="F46">IFERROR(INDEX([1]!EmpleadosPKF[Departamento],tMS[[#This Row],[Index]]),"")</f>
        <v>Fiscal</v>
      </c>
      <c r="G46" s="8" t="s">
        <v>53</v>
      </c>
      <c r="H46" t="s">
        <v>150</v>
      </c>
      <c r="I46" t="s">
        <v>151</v>
      </c>
      <c r="J46" s="6"/>
    </row>
    <row r="47" spans="1:11" x14ac:dyDescent="0.25">
      <c r="A47" s="1">
        <v>46</v>
      </c>
      <c r="B47" s="3">
        <f>IF(tMS[[#This Row],[Codigo]] = "0", 0, MATCH(tMS[[#This Row],[Codigo]],[1]!EmpleadosPKF[Codigo],0))</f>
        <v>11</v>
      </c>
      <c r="C47" s="4" t="s">
        <v>152</v>
      </c>
      <c r="D47" t="str" cm="1">
        <f t="array" ref="D47">PROPER(IFERROR(INDEX([1]!EmpleadosPKF[Colaborador],tMS[[#This Row],[Index]]), "No esta registrado"))</f>
        <v>Maria Fernanda Muñiz Loera</v>
      </c>
      <c r="E47" t="str" cm="1">
        <f t="array" ref="E47">IFERROR(INDEX([1]!EmpleadosPKF[Puesto],tMS[[#This Row],[Index]]),"")</f>
        <v>Staff de contabilidad</v>
      </c>
      <c r="F47" t="str" cm="1">
        <f t="array" ref="F47">IFERROR(INDEX([1]!EmpleadosPKF[Departamento],tMS[[#This Row],[Index]]),"")</f>
        <v>Fiscal</v>
      </c>
      <c r="G47" s="8" t="s">
        <v>103</v>
      </c>
      <c r="H47" s="8" t="s">
        <v>153</v>
      </c>
      <c r="I47" t="s">
        <v>154</v>
      </c>
      <c r="J47" s="6"/>
    </row>
    <row r="48" spans="1:11" x14ac:dyDescent="0.25">
      <c r="A48" s="1">
        <v>47</v>
      </c>
      <c r="B48" s="3">
        <f>IF(tMS[[#This Row],[Codigo]] = "0", 0, MATCH(tMS[[#This Row],[Codigo]],[1]!EmpleadosPKF[Codigo],0))</f>
        <v>0</v>
      </c>
      <c r="C48" s="10" t="s">
        <v>11</v>
      </c>
      <c r="D48" t="s">
        <v>155</v>
      </c>
      <c r="G48" s="8" t="s">
        <v>15</v>
      </c>
      <c r="H48" s="8" t="s">
        <v>156</v>
      </c>
      <c r="I48" t="s">
        <v>157</v>
      </c>
      <c r="J48" s="6"/>
    </row>
    <row r="49" spans="1:11" x14ac:dyDescent="0.25">
      <c r="A49" s="1">
        <v>48</v>
      </c>
      <c r="B49" s="3">
        <f>IF(tMS[[#This Row],[Codigo]] = "0", 0, MATCH(tMS[[#This Row],[Codigo]],[1]!EmpleadosPKF[Codigo],0))</f>
        <v>10</v>
      </c>
      <c r="C49" s="10" t="s">
        <v>158</v>
      </c>
      <c r="D49" t="str" cm="1">
        <f t="array" ref="D49">PROPER(IFERROR(INDEX([1]!EmpleadosPKF[Colaborador],tMS[[#This Row],[Index]]), "No esta registrado"))</f>
        <v>Ruben Hernandez Hernandez</v>
      </c>
      <c r="E49" t="str" cm="1">
        <f t="array" ref="E49">IFERROR(INDEX([1]!EmpleadosPKF[Puesto],tMS[[#This Row],[Index]]),"")</f>
        <v>Staff</v>
      </c>
      <c r="F49" t="str" cm="1">
        <f t="array" ref="F49">IFERROR(INDEX([1]!EmpleadosPKF[Departamento],tMS[[#This Row],[Index]]),"")</f>
        <v>Auditoria</v>
      </c>
      <c r="G49" s="8" t="s">
        <v>76</v>
      </c>
      <c r="H49" s="8" t="s">
        <v>159</v>
      </c>
      <c r="I49" t="s">
        <v>160</v>
      </c>
      <c r="J49" s="6"/>
    </row>
    <row r="50" spans="1:11" x14ac:dyDescent="0.25">
      <c r="A50" s="1">
        <v>49</v>
      </c>
      <c r="B50" s="3">
        <f>IF(tMS[[#This Row],[Codigo]] = "0", 0, MATCH(tMS[[#This Row],[Codigo]],[1]!EmpleadosPKF[Codigo],0))</f>
        <v>9</v>
      </c>
      <c r="C50" s="10" t="s">
        <v>161</v>
      </c>
      <c r="D50" t="str" cm="1">
        <f t="array" ref="D50">PROPER(IFERROR(INDEX([1]!EmpleadosPKF[Colaborador],tMS[[#This Row],[Index]]), "No esta registrado"))</f>
        <v>Luis Fernando Alejandro Vazquez</v>
      </c>
      <c r="E50" t="str" cm="1">
        <f t="array" ref="E50">IFERROR(INDEX([1]!EmpleadosPKF[Puesto],tMS[[#This Row],[Index]]),"")</f>
        <v>Auditor</v>
      </c>
      <c r="F50" t="str" cm="1">
        <f t="array" ref="F50">IFERROR(INDEX([1]!EmpleadosPKF[Departamento],tMS[[#This Row],[Index]]),"")</f>
        <v>Auditoria</v>
      </c>
      <c r="G50" s="8" t="s">
        <v>62</v>
      </c>
      <c r="H50" s="8" t="s">
        <v>162</v>
      </c>
      <c r="I50" t="s">
        <v>163</v>
      </c>
      <c r="J50" s="6"/>
      <c r="K50" t="s">
        <v>65</v>
      </c>
    </row>
    <row r="51" spans="1:11" x14ac:dyDescent="0.25">
      <c r="A51" s="1">
        <v>50</v>
      </c>
      <c r="B51" s="3">
        <f>IF(tMS[[#This Row],[Codigo]] = "0", 0, MATCH(tMS[[#This Row],[Codigo]],[1]!EmpleadosPKF[Codigo],0))</f>
        <v>8</v>
      </c>
      <c r="C51" s="10" t="s">
        <v>164</v>
      </c>
      <c r="D51" t="str" cm="1">
        <f t="array" ref="D51">PROPER(IFERROR(INDEX([1]!EmpleadosPKF[Colaborador],tMS[[#This Row],[Index]]), "No esta registrado"))</f>
        <v>Diana Cristina Garcia Coronado</v>
      </c>
      <c r="E51" t="str" cm="1">
        <f t="array" ref="E51">IFERROR(INDEX([1]!EmpleadosPKF[Puesto],tMS[[#This Row],[Index]]),"")</f>
        <v>Staff de auditoria</v>
      </c>
      <c r="F51" t="str" cm="1">
        <f t="array" ref="F51">IFERROR(INDEX([1]!EmpleadosPKF[Departamento],tMS[[#This Row],[Index]]),"")</f>
        <v>Auditoria</v>
      </c>
      <c r="G51" s="8" t="s">
        <v>18</v>
      </c>
      <c r="H51" s="8" t="s">
        <v>165</v>
      </c>
      <c r="I51" t="s">
        <v>166</v>
      </c>
      <c r="J51" s="6"/>
      <c r="K51" t="s">
        <v>65</v>
      </c>
    </row>
    <row r="52" spans="1:11" x14ac:dyDescent="0.25">
      <c r="A52" s="1">
        <v>51</v>
      </c>
      <c r="B52" s="3">
        <f>IF(tMS[[#This Row],[Codigo]] = "0", 0, MATCH(tMS[[#This Row],[Codigo]],[1]!EmpleadosPKF[Codigo],0))</f>
        <v>7</v>
      </c>
      <c r="C52" s="10" t="s">
        <v>167</v>
      </c>
      <c r="D52" t="str" cm="1">
        <f t="array" ref="D52">PROPER(IFERROR(INDEX([1]!EmpleadosPKF[Colaborador],tMS[[#This Row],[Index]]), "No esta registrado"))</f>
        <v>Rubelio Flores Cervantes</v>
      </c>
      <c r="E52" t="str" cm="1">
        <f t="array" ref="E52">IFERROR(INDEX([1]!EmpleadosPKF[Puesto],tMS[[#This Row],[Index]]),"")</f>
        <v>Especialista de impuestos</v>
      </c>
      <c r="F52" t="str" cm="1">
        <f t="array" ref="F52">IFERROR(INDEX([1]!EmpleadosPKF[Departamento],tMS[[#This Row],[Index]]),"")</f>
        <v>Fiscal</v>
      </c>
      <c r="G52" s="8" t="s">
        <v>30</v>
      </c>
      <c r="H52" s="8" t="s">
        <v>168</v>
      </c>
      <c r="I52" t="s">
        <v>169</v>
      </c>
      <c r="J52" s="6"/>
      <c r="K52" t="s">
        <v>21</v>
      </c>
    </row>
    <row r="53" spans="1:11" x14ac:dyDescent="0.25">
      <c r="A53" s="1">
        <v>52</v>
      </c>
      <c r="B53" s="3">
        <f>IF(tMS[[#This Row],[Codigo]] = "0", 0, MATCH(tMS[[#This Row],[Codigo]],[1]!EmpleadosPKF[Codigo],0))</f>
        <v>6</v>
      </c>
      <c r="C53" s="10" t="s">
        <v>170</v>
      </c>
      <c r="D53" t="str" cm="1">
        <f t="array" ref="D53">PROPER(IFERROR(INDEX([1]!EmpleadosPKF[Colaborador],tMS[[#This Row],[Index]]), "No esta registrado"))</f>
        <v>German Villasana Taya</v>
      </c>
      <c r="E53" t="str" cm="1">
        <f t="array" ref="E53">IFERROR(INDEX([1]!EmpleadosPKF[Puesto],tMS[[#This Row],[Index]]),"")</f>
        <v>Auditor</v>
      </c>
      <c r="F53" t="str" cm="1">
        <f t="array" ref="F53">IFERROR(INDEX([1]!EmpleadosPKF[Departamento],tMS[[#This Row],[Index]]),"")</f>
        <v>Auditoria</v>
      </c>
      <c r="G53" s="8" t="s">
        <v>62</v>
      </c>
      <c r="H53" s="8" t="s">
        <v>171</v>
      </c>
      <c r="I53" t="s">
        <v>172</v>
      </c>
      <c r="J53" s="6"/>
    </row>
    <row r="54" spans="1:11" x14ac:dyDescent="0.25">
      <c r="A54" s="1">
        <v>53</v>
      </c>
      <c r="B54" s="3">
        <f>IF(tMS[[#This Row],[Codigo]] = "0", 0, MATCH(tMS[[#This Row],[Codigo]],[1]!EmpleadosPKF[Codigo],0))</f>
        <v>54</v>
      </c>
      <c r="C54" s="10" t="s">
        <v>173</v>
      </c>
      <c r="D54" t="s">
        <v>174</v>
      </c>
      <c r="E54" t="str" cm="1">
        <f t="array" ref="E54">IFERROR(INDEX([1]!EmpleadosPKF[Puesto],tMS[[#This Row],[Index]]),"")</f>
        <v>Staff de auditoria</v>
      </c>
      <c r="F54" t="str" cm="1">
        <f t="array" ref="F54">IFERROR(INDEX([1]!EmpleadosPKF[Departamento],tMS[[#This Row],[Index]]),"")</f>
        <v>Auditoria</v>
      </c>
      <c r="G54" s="8" t="s">
        <v>62</v>
      </c>
      <c r="H54" s="8" t="s">
        <v>175</v>
      </c>
      <c r="I54" t="s">
        <v>176</v>
      </c>
      <c r="J54" s="6" t="s">
        <v>45</v>
      </c>
    </row>
    <row r="55" spans="1:11" x14ac:dyDescent="0.25">
      <c r="A55" s="1">
        <v>54</v>
      </c>
      <c r="B55" s="3">
        <f>IF(tMS[[#This Row],[Codigo]] = "0", 0, MATCH(tMS[[#This Row],[Codigo]],[1]!EmpleadosPKF[Codigo],0))</f>
        <v>5</v>
      </c>
      <c r="C55" s="10" t="s">
        <v>177</v>
      </c>
      <c r="D55" t="str" cm="1">
        <f t="array" ref="D55">PROPER(IFERROR(INDEX([1]!EmpleadosPKF[Colaborador],tMS[[#This Row],[Index]]), "No esta registrado"))</f>
        <v>Felipe De Jesus Araujo Sauceda</v>
      </c>
      <c r="E55" t="str" cm="1">
        <f t="array" ref="E55">IFERROR(INDEX([1]!EmpleadosPKF[Puesto],tMS[[#This Row],[Index]]),"")</f>
        <v>Contralor</v>
      </c>
      <c r="F55" t="str" cm="1">
        <f t="array" ref="F55">IFERROR(INDEX([1]!EmpleadosPKF[Departamento],tMS[[#This Row],[Index]]),"")</f>
        <v>Administracion</v>
      </c>
      <c r="G55" s="8" t="s">
        <v>15</v>
      </c>
      <c r="H55" s="8" t="s">
        <v>178</v>
      </c>
      <c r="I55" s="9" t="s">
        <v>179</v>
      </c>
      <c r="J55" s="6"/>
    </row>
    <row r="56" spans="1:11" x14ac:dyDescent="0.25">
      <c r="A56" s="1">
        <v>55</v>
      </c>
      <c r="B56" s="3">
        <f>IF(tMS[[#This Row],[Codigo]] = "0", 0, MATCH(tMS[[#This Row],[Codigo]],[1]!EmpleadosPKF[Codigo],0))</f>
        <v>4</v>
      </c>
      <c r="C56" s="10" t="s">
        <v>180</v>
      </c>
      <c r="D56" t="str" cm="1">
        <f t="array" ref="D56">PROPER(IFERROR(INDEX([1]!EmpleadosPKF[Colaborador],tMS[[#This Row],[Index]]), "No esta registrado"))</f>
        <v>Alexis Hernandez Niño</v>
      </c>
      <c r="E56" t="str" cm="1">
        <f t="array" ref="E56">IFERROR(INDEX([1]!EmpleadosPKF[Puesto],tMS[[#This Row],[Index]]),"")</f>
        <v>Staff</v>
      </c>
      <c r="F56" t="str" cm="1">
        <f t="array" ref="F56">IFERROR(INDEX([1]!EmpleadosPKF[Departamento],tMS[[#This Row],[Index]]),"")</f>
        <v>Auditoria</v>
      </c>
      <c r="G56" s="8" t="s">
        <v>15</v>
      </c>
      <c r="H56" s="8" t="s">
        <v>181</v>
      </c>
      <c r="I56" t="s">
        <v>182</v>
      </c>
      <c r="J56" s="6"/>
    </row>
    <row r="57" spans="1:11" x14ac:dyDescent="0.25">
      <c r="A57" s="1">
        <v>56</v>
      </c>
      <c r="B57" s="3">
        <f>IF(tMS[[#This Row],[Codigo]] = "0", 0, MATCH(tMS[[#This Row],[Codigo]],[1]!EmpleadosPKF[Codigo],0))</f>
        <v>3</v>
      </c>
      <c r="C57" s="11" t="s">
        <v>183</v>
      </c>
      <c r="D57" t="str" cm="1">
        <f t="array" ref="D57">PROPER(IFERROR(INDEX([1]!EmpleadosPKF[Colaborador],tMS[[#This Row],[Index]]), "No esta registrado"))</f>
        <v>Isamar Guadalupe Uicab Puente</v>
      </c>
      <c r="E57" t="str" cm="1">
        <f t="array" ref="E57">IFERROR(INDEX([1]!EmpleadosPKF[Puesto],tMS[[#This Row],[Codigo]]),"")</f>
        <v>Auxiliar de Limpieza</v>
      </c>
      <c r="F57" t="str" cm="1">
        <f t="array" ref="F57">IFERROR(INDEX([1]!EmpleadosPKF[Departamento],tMS[[#This Row],[Index]]),"")</f>
        <v>Administracion</v>
      </c>
      <c r="G57" s="8" t="s">
        <v>33</v>
      </c>
      <c r="H57" s="8" t="s">
        <v>184</v>
      </c>
      <c r="I57" t="s">
        <v>185</v>
      </c>
      <c r="J57" s="6"/>
    </row>
    <row r="58" spans="1:11" x14ac:dyDescent="0.25">
      <c r="A58" s="1">
        <v>57</v>
      </c>
      <c r="B58" s="3">
        <f>IF(tMS[[#This Row],[Codigo]] = "0", 0, MATCH(tMS[[#This Row],[Codigo]],[1]!EmpleadosPKF[Codigo],0))</f>
        <v>2</v>
      </c>
      <c r="C58" s="10" t="s">
        <v>186</v>
      </c>
      <c r="D58" t="str" cm="1">
        <f t="array" ref="D58">PROPER(IFERROR(INDEX([1]!EmpleadosPKF[Colaborador],tMS[[#This Row],[Index]]), "No esta registrado"))</f>
        <v>Agustin Hiram Delgadillo Garcia</v>
      </c>
      <c r="E58" t="str" cm="1">
        <f t="array" ref="E58">IFERROR(INDEX([1]!EmpleadosPKF[Puesto],tMS[[#This Row],[Codigo]]),"")</f>
        <v>Director de Auditoria</v>
      </c>
      <c r="F58" t="str" cm="1">
        <f t="array" ref="F58">IFERROR(INDEX([1]!EmpleadosPKF[Departamento],tMS[[#This Row],[Index]]),"")</f>
        <v>Fiscal</v>
      </c>
      <c r="G58" s="8" t="s">
        <v>30</v>
      </c>
      <c r="H58" s="8" t="s">
        <v>187</v>
      </c>
      <c r="I58" t="s">
        <v>188</v>
      </c>
      <c r="J58" s="6"/>
    </row>
    <row r="59" spans="1:11" x14ac:dyDescent="0.25">
      <c r="A59" s="1">
        <v>58</v>
      </c>
      <c r="B59" s="3">
        <f>IF(tMS[[#This Row],[Codigo]] = "0", 0, MATCH(tMS[[#This Row],[Codigo]],[1]!EmpleadosPKF[Codigo],0))</f>
        <v>1</v>
      </c>
      <c r="C59" s="11" t="s">
        <v>189</v>
      </c>
      <c r="D59" t="str" cm="1">
        <f t="array" ref="D59">PROPER(IFERROR(INDEX([1]!EmpleadosPKF[Colaborador],tMS[[#This Row],[Index]]), "No esta registrado"))</f>
        <v>Lorena Hernandez Jimenez</v>
      </c>
      <c r="E59" t="str" cm="1">
        <f t="array" ref="E59">IFERROR(INDEX([1]!EmpleadosPKF[Puesto],tMS[[#This Row],[Codigo]]),"")</f>
        <v>Encargado de Auditoria</v>
      </c>
      <c r="F59" t="str" cm="1">
        <f t="array" ref="F59">IFERROR(INDEX([1]!EmpleadosPKF[Departamento],tMS[[#This Row],[Index]]),"")</f>
        <v>Auditoria</v>
      </c>
      <c r="G59" s="8" t="s">
        <v>62</v>
      </c>
      <c r="H59" s="8" t="s">
        <v>190</v>
      </c>
      <c r="I59" t="s">
        <v>191</v>
      </c>
      <c r="J59" s="6"/>
    </row>
  </sheetData>
  <conditionalFormatting sqref="J2:J54 J57">
    <cfRule type="cellIs" dxfId="8" priority="1" operator="equal">
      <formula>"baja"</formula>
    </cfRule>
    <cfRule type="cellIs" dxfId="7" priority="2" operator="equal">
      <formula>"ok"</formula>
    </cfRule>
  </conditionalFormatting>
  <hyperlinks>
    <hyperlink ref="H2" r:id="rId1" xr:uid="{F133DD97-54E9-4A36-9079-3DE65284F9C3}"/>
    <hyperlink ref="H8" r:id="rId2" xr:uid="{2D8D0A47-DE5E-444A-AB4F-6BA1E42203BC}"/>
    <hyperlink ref="H7" r:id="rId3" xr:uid="{4C99768B-24DB-4773-A47E-6C34DB68ED45}"/>
    <hyperlink ref="G11" r:id="rId4" xr:uid="{7327F046-4E95-4D9E-81B2-52C9561C3C9C}"/>
    <hyperlink ref="H39" r:id="rId5" xr:uid="{F6CE3657-8B3F-4DA4-B767-99BA80233FC4}"/>
    <hyperlink ref="G40" r:id="rId6" xr:uid="{DFE70970-C465-4A81-9F06-044D6910D1CA}"/>
    <hyperlink ref="G4" r:id="rId7" xr:uid="{1E3D0C67-7356-4789-9258-0A7181EBCCB6}"/>
    <hyperlink ref="G36" r:id="rId8" xr:uid="{50D92E10-9981-408C-9BCA-D3351CA037D0}"/>
    <hyperlink ref="G7" r:id="rId9" xr:uid="{DCBADDF7-48BD-4B4A-8516-EBDFB2E7EA49}"/>
    <hyperlink ref="G5" r:id="rId10" xr:uid="{3B6514B7-E4E5-4637-827F-25DEA91A8104}"/>
    <hyperlink ref="G44" r:id="rId11" xr:uid="{AA91B011-F4DE-4F98-AB7F-5A5CE6EF44C1}"/>
    <hyperlink ref="G30" r:id="rId12" xr:uid="{3FB55A0C-5490-4FF6-AE8B-DA51F5009A11}"/>
    <hyperlink ref="G8" r:id="rId13" xr:uid="{3EEB95F8-79A4-4D5F-82EA-70AA76F88C54}"/>
    <hyperlink ref="G26" r:id="rId14" xr:uid="{4CB078A2-77F9-4F5B-94B3-05492EC0A950}"/>
    <hyperlink ref="G28" r:id="rId15" xr:uid="{C19266DB-F5CF-406C-8187-CF6754BCC3BF}"/>
    <hyperlink ref="G10" r:id="rId16" xr:uid="{ABBB43FA-07CA-4B1C-9419-EFC4975DC306}"/>
    <hyperlink ref="G22" r:id="rId17" xr:uid="{1ADC8D89-39CE-4A65-BFD0-94F51F7A6ECD}"/>
    <hyperlink ref="G25" r:id="rId18" xr:uid="{40060121-564C-42FE-9300-90D6FE6EDED8}"/>
    <hyperlink ref="G24" r:id="rId19" xr:uid="{7FE64E0B-F8C1-421F-9872-B212367634A0}"/>
    <hyperlink ref="H4" r:id="rId20" xr:uid="{D5B9FD32-E7DD-4BBD-A56F-59F3226C6561}"/>
    <hyperlink ref="G21" r:id="rId21" xr:uid="{2F0A309D-184C-4819-9DF0-D7B268A6B263}"/>
    <hyperlink ref="G31" r:id="rId22" xr:uid="{2DCB0C44-2461-4547-9C98-266100BDEC63}"/>
    <hyperlink ref="H31" r:id="rId23" xr:uid="{53D98CBB-EC23-4CDC-BF25-51382E592C9D}"/>
    <hyperlink ref="G3" r:id="rId24" xr:uid="{5800BFF6-C67F-4852-AFC3-BE59C39B2C21}"/>
    <hyperlink ref="G9" r:id="rId25" xr:uid="{0721AAC9-595E-4CAF-B4D3-25D5550891F5}"/>
    <hyperlink ref="G38" r:id="rId26" xr:uid="{4B79979B-70CF-4A94-AB75-80F5B2C51AFE}"/>
    <hyperlink ref="G43" r:id="rId27" xr:uid="{6029F2C8-3EC1-4763-88E6-B249F9EE2E60}"/>
    <hyperlink ref="G37" r:id="rId28" xr:uid="{EE04D0DA-66C2-4FC5-AD69-BA03CE1B4CD3}"/>
    <hyperlink ref="G34" r:id="rId29" xr:uid="{DEFE9918-EA17-4F65-8BE5-F797396896C4}"/>
    <hyperlink ref="G15" r:id="rId30" xr:uid="{5F5B90A1-53BE-455B-A844-59C6748EC1FA}"/>
    <hyperlink ref="H21" r:id="rId31" xr:uid="{4CAA45FA-BD72-4507-B3FE-3BD075726DD5}"/>
    <hyperlink ref="G27" r:id="rId32" xr:uid="{9B86DF16-37FE-474B-B4DA-DC306B00F4B6}"/>
    <hyperlink ref="H27" r:id="rId33" xr:uid="{4F8CDCBD-2FAA-4096-968D-4D20FEED8E07}"/>
    <hyperlink ref="H45" r:id="rId34" xr:uid="{675D7E92-F27C-4CD8-BF55-E8917678EE9B}"/>
    <hyperlink ref="G20" r:id="rId35" xr:uid="{6A3801E5-8FF6-485F-AE3B-4152D640089F}"/>
    <hyperlink ref="G16" r:id="rId36" xr:uid="{E8657976-1DD8-4B58-BD3C-BCDAC4697685}"/>
    <hyperlink ref="G13" r:id="rId37" xr:uid="{8DACE61D-588A-489A-8CFC-270BB13BBE2A}"/>
    <hyperlink ref="G46" r:id="rId38" xr:uid="{E7E1E41E-D660-4C6F-9BA9-27DEA0964978}"/>
    <hyperlink ref="G17" r:id="rId39" xr:uid="{6381F5A2-DBEF-412F-8596-BB4952CCCFAD}"/>
    <hyperlink ref="G14" r:id="rId40" xr:uid="{1D65DBF0-4E5F-4399-97B3-B643D1C97037}"/>
    <hyperlink ref="G12" r:id="rId41" xr:uid="{1EF78F04-DA55-45FB-AC2A-4CA7AA640AE1}"/>
    <hyperlink ref="H12" r:id="rId42" xr:uid="{C973F803-8F74-4861-A165-2B10F40B69CF}"/>
    <hyperlink ref="G45" r:id="rId43" xr:uid="{DF28809B-23D1-4B7B-A2FD-748D2B3F5C99}"/>
    <hyperlink ref="G6" r:id="rId44" xr:uid="{2D453E30-5351-4511-B253-A40E762CF535}"/>
    <hyperlink ref="G32" r:id="rId45" xr:uid="{58767259-9EAF-47E5-B1AD-E3C105099568}"/>
    <hyperlink ref="G19" r:id="rId46" xr:uid="{DBB1240B-5213-4885-BBF7-369E691D8825}"/>
    <hyperlink ref="G29" r:id="rId47" xr:uid="{B4A54CAC-536F-480F-8B51-DEEDE7CBF3C8}"/>
    <hyperlink ref="G41" r:id="rId48" xr:uid="{49F9565E-1E2A-46AF-83C3-A5CCCCD25A66}"/>
    <hyperlink ref="G33" r:id="rId49" xr:uid="{3A285981-7844-412D-93E0-68E8F3156618}"/>
    <hyperlink ref="G42" r:id="rId50" xr:uid="{94D34FF5-7CE2-4A73-938C-E87753C05D9C}"/>
    <hyperlink ref="G18" r:id="rId51" xr:uid="{5D5020D8-AB9F-4A7E-A5A3-BF1E3A8C1FCC}"/>
    <hyperlink ref="G23" r:id="rId52" xr:uid="{61D955F0-9957-4747-9DCE-CDF07DEEC18D}"/>
    <hyperlink ref="G39" r:id="rId53" xr:uid="{493D999D-3F1C-4ECA-A784-54FFD7D92D56}"/>
    <hyperlink ref="G35" r:id="rId54" xr:uid="{777C3A4E-D001-46AD-8E67-2DC7FEA1E413}"/>
    <hyperlink ref="H25" r:id="rId55" xr:uid="{31DE082A-5021-4D44-A256-88D74769FE6E}"/>
    <hyperlink ref="H47" r:id="rId56" xr:uid="{66C8FACA-88C0-4738-8D66-BF4B6931050A}"/>
    <hyperlink ref="G47" r:id="rId57" xr:uid="{F2382BA8-D5AA-4200-959D-6AA423BFC55D}"/>
    <hyperlink ref="I39" r:id="rId58" xr:uid="{9A85248A-44C0-4167-BE5B-7855899B7EF1}"/>
    <hyperlink ref="H48" r:id="rId59" xr:uid="{B0E842FB-5657-4FF3-A736-E02636B58FEF}"/>
    <hyperlink ref="G48" r:id="rId60" xr:uid="{F78A2313-F24F-4ACA-9CD3-63B691E21EE1}"/>
    <hyperlink ref="I4" r:id="rId61" xr:uid="{747C85EE-BC4C-4D48-A61B-0B90963E7682}"/>
    <hyperlink ref="I30" r:id="rId62" xr:uid="{AB05BE4A-A2E1-4E0B-8E62-676D748A8DD2}"/>
    <hyperlink ref="I5" r:id="rId63" xr:uid="{1A16E7A3-C414-470C-8855-84A98FF4BA40}"/>
    <hyperlink ref="I22" r:id="rId64" xr:uid="{DAF60E1A-6455-4BBD-B1BA-E67B6536677C}"/>
    <hyperlink ref="H49" r:id="rId65" xr:uid="{C87C964E-6EBB-45CA-B3EF-DF44D614DEE6}"/>
    <hyperlink ref="G49" r:id="rId66" xr:uid="{5BB8302F-1345-4DBB-B313-8B738FA9D434}"/>
    <hyperlink ref="H50" r:id="rId67" xr:uid="{726F80B9-4EBE-46C5-99DD-AF85942638AE}"/>
    <hyperlink ref="G50" r:id="rId68" xr:uid="{57D62EC6-027D-44FC-8403-F2FEF1751C77}"/>
    <hyperlink ref="H51" r:id="rId69" xr:uid="{25E3272C-4609-4F88-893B-051C895AF92B}"/>
    <hyperlink ref="G51" r:id="rId70" xr:uid="{D5709153-A7E8-47EB-BFD5-593A5853A30E}"/>
    <hyperlink ref="I35" r:id="rId71" xr:uid="{D82CDF3D-56FE-4363-9560-1386945F0840}"/>
    <hyperlink ref="H35" r:id="rId72" xr:uid="{489FE482-642E-427C-976A-3D0F22940003}"/>
    <hyperlink ref="H52" r:id="rId73" xr:uid="{139B18F6-EC3C-453B-8B5A-05210435B357}"/>
    <hyperlink ref="H6" r:id="rId74" xr:uid="{3C825807-D1A1-4C0F-AD63-0536973E51A3}"/>
    <hyperlink ref="G52" r:id="rId75" xr:uid="{E6A83891-AC46-4774-8CE6-A54A0137FF15}"/>
    <hyperlink ref="H53" r:id="rId76" xr:uid="{3F0F7C96-07EA-4BE9-8F9C-16AA49A2E75A}"/>
    <hyperlink ref="G53" r:id="rId77" xr:uid="{078DA33E-C5D4-4EAB-AC9E-9BC74BECCF1E}"/>
    <hyperlink ref="H34" r:id="rId78" xr:uid="{B736E199-16BC-48BD-ACE5-D0E8462BDF5A}"/>
    <hyperlink ref="H38" r:id="rId79" xr:uid="{D1EBF2D4-0EE7-4BF7-91B9-D55C878C35A7}"/>
    <hyperlink ref="H23" r:id="rId80" xr:uid="{051CA522-9F0A-4C4F-AE06-1822D54288FF}"/>
    <hyperlink ref="I23" r:id="rId81" xr:uid="{281ABAE4-086C-484E-930E-12F855E2296A}"/>
    <hyperlink ref="H5" r:id="rId82" xr:uid="{2731760F-70DB-4D2C-8972-DBE76670E394}"/>
    <hyperlink ref="H24" r:id="rId83" xr:uid="{29296A7E-D829-4371-AD09-63794496B3FE}"/>
    <hyperlink ref="I43" r:id="rId84" xr:uid="{7DFBA65A-0E62-43A8-A388-AF7FE7F46EAB}"/>
    <hyperlink ref="I3" r:id="rId85" xr:uid="{DF0E2D1E-926D-4185-875E-D0328C208D7F}"/>
    <hyperlink ref="H32" r:id="rId86" xr:uid="{6E09AEEE-FE62-4C72-9A1E-EC9BE2C323DA}"/>
    <hyperlink ref="H13" r:id="rId87" xr:uid="{78BD85DA-FD6B-4831-9185-462E520CFB1D}"/>
    <hyperlink ref="H10" r:id="rId88" xr:uid="{4BA17C5F-F528-4F6F-810B-0E3983C50C67}"/>
    <hyperlink ref="H55" r:id="rId89" xr:uid="{C51885D2-95DE-44A7-B64B-93D024A4B528}"/>
    <hyperlink ref="H56" r:id="rId90" xr:uid="{470C026A-CBE2-4C19-B53A-B7B753703C8A}"/>
    <hyperlink ref="I55" r:id="rId91" xr:uid="{EA8721F3-5552-44F7-B4C0-3B36D0C412C6}"/>
    <hyperlink ref="G56" r:id="rId92" xr:uid="{CB8317AF-0B3B-4CE2-91BE-1429EB355D49}"/>
    <hyperlink ref="H57" r:id="rId93" xr:uid="{39AFBEA1-56F6-4110-BBBE-5457035D7722}"/>
    <hyperlink ref="G57" r:id="rId94" xr:uid="{0B0E251A-8EE6-4E08-82B9-1B55B7329040}"/>
    <hyperlink ref="G55" r:id="rId95" xr:uid="{4497B99C-E4E1-4BB9-A2F4-9361EA40F08C}"/>
    <hyperlink ref="G54" r:id="rId96" xr:uid="{4211966E-3853-4550-B663-D7CF312679C3}"/>
    <hyperlink ref="H54" r:id="rId97" xr:uid="{060C8FAA-C261-4BD4-AA4C-33D763E6A449}"/>
    <hyperlink ref="H58" r:id="rId98" xr:uid="{5DCBBBD9-143B-4A68-9D5F-C7A80EE37288}"/>
    <hyperlink ref="G58" r:id="rId99" xr:uid="{466555ED-FDE8-435E-A0F2-5A318E6B0472}"/>
    <hyperlink ref="H59" r:id="rId100" xr:uid="{36103941-D369-439B-A7D5-330BDDF69E19}"/>
    <hyperlink ref="G59" r:id="rId101" xr:uid="{AEE183D8-E9A8-4ACE-9181-C1DABE7D0551}"/>
  </hyperlinks>
  <pageMargins left="0.7" right="0.7" top="0.75" bottom="0.75" header="0.3" footer="0.3"/>
  <pageSetup orientation="portrait" r:id="rId102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MS365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Eduardo Valli Muñoz</dc:creator>
  <cp:lastModifiedBy>Edgar Eduardo Valli Muñoz</cp:lastModifiedBy>
  <dcterms:created xsi:type="dcterms:W3CDTF">2026-04-07T15:39:34Z</dcterms:created>
  <dcterms:modified xsi:type="dcterms:W3CDTF">2026-04-07T15:40:02Z</dcterms:modified>
</cp:coreProperties>
</file>